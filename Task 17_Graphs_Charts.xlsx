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tics Files\Excel\Daily Tasks\"/>
    </mc:Choice>
  </mc:AlternateContent>
  <xr:revisionPtr revIDLastSave="0" documentId="13_ncr:1_{7D37D0E0-5BE4-416B-ADCF-8AD9B19A8242}" xr6:coauthVersionLast="47" xr6:coauthVersionMax="47" xr10:uidLastSave="{00000000-0000-0000-0000-000000000000}"/>
  <bookViews>
    <workbookView xWindow="-110" yWindow="-110" windowWidth="19420" windowHeight="11500" firstSheet="5" activeTab="7" xr2:uid="{00000000-000D-0000-FFFF-FFFF00000000}"/>
  </bookViews>
  <sheets>
    <sheet name="Raw Data" sheetId="1" r:id="rId1"/>
    <sheet name="Sheet2" sheetId="9" r:id="rId2"/>
    <sheet name="Employee_Cleaned" sheetId="2" r:id="rId3"/>
    <sheet name="Vlookup" sheetId="5" r:id="rId4"/>
    <sheet name="Index&amp;Match" sheetId="6" r:id="rId5"/>
    <sheet name="Pivot tables_Chart" sheetId="7" r:id="rId6"/>
    <sheet name="Pivot Chart" sheetId="8" r:id="rId7"/>
    <sheet name="Report" sheetId="4" r:id="rId8"/>
  </sheets>
  <calcPr calcId="191029"/>
  <pivotCaches>
    <pivotCache cacheId="0" r:id="rId9"/>
    <pivotCache cacheId="7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" i="6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" i="5"/>
  <c r="O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3" i="5"/>
  <c r="B2" i="5"/>
  <c r="N2" i="2"/>
  <c r="N2" i="5" s="1"/>
  <c r="N3" i="2"/>
  <c r="N3" i="5" s="1"/>
  <c r="N4" i="2"/>
  <c r="N4" i="5" s="1"/>
  <c r="N5" i="2"/>
  <c r="N5" i="5" s="1"/>
  <c r="N6" i="2"/>
  <c r="N6" i="5" s="1"/>
  <c r="N7" i="2"/>
  <c r="N7" i="5" s="1"/>
  <c r="N8" i="2"/>
  <c r="N8" i="5" s="1"/>
  <c r="N9" i="2"/>
  <c r="N9" i="5" s="1"/>
  <c r="N10" i="2"/>
  <c r="N10" i="5" s="1"/>
  <c r="N11" i="2"/>
  <c r="N11" i="5" s="1"/>
  <c r="N12" i="2"/>
  <c r="N12" i="5" s="1"/>
  <c r="N13" i="2"/>
  <c r="N13" i="5" s="1"/>
  <c r="N14" i="2"/>
  <c r="N14" i="5" s="1"/>
  <c r="N15" i="2"/>
  <c r="N15" i="5" s="1"/>
  <c r="N16" i="2"/>
  <c r="N16" i="5" s="1"/>
  <c r="N17" i="2"/>
  <c r="N17" i="5" s="1"/>
  <c r="N18" i="2"/>
  <c r="N18" i="5" s="1"/>
  <c r="N19" i="2"/>
  <c r="N19" i="5" s="1"/>
  <c r="N20" i="2"/>
  <c r="N20" i="5" s="1"/>
  <c r="N21" i="2"/>
  <c r="N21" i="5" s="1"/>
  <c r="N22" i="2"/>
  <c r="N22" i="5" s="1"/>
  <c r="N23" i="2"/>
  <c r="N23" i="5" s="1"/>
  <c r="N24" i="2"/>
  <c r="N24" i="5" s="1"/>
  <c r="N25" i="2"/>
  <c r="N25" i="5" s="1"/>
  <c r="N26" i="2"/>
  <c r="N26" i="5" s="1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E99" i="2"/>
  <c r="E122" i="2"/>
  <c r="E100" i="2"/>
  <c r="E123" i="2"/>
  <c r="E124" i="2"/>
  <c r="E101" i="2"/>
  <c r="E44" i="2"/>
  <c r="E102" i="2"/>
  <c r="E45" i="2"/>
  <c r="E46" i="2"/>
  <c r="E125" i="2"/>
  <c r="E2" i="2"/>
  <c r="E3" i="2"/>
  <c r="E27" i="2"/>
  <c r="E103" i="2"/>
  <c r="E47" i="2"/>
  <c r="E48" i="2"/>
  <c r="E126" i="2"/>
  <c r="E49" i="2"/>
  <c r="E4" i="2"/>
  <c r="E104" i="2"/>
  <c r="E28" i="2"/>
  <c r="E5" i="2"/>
  <c r="E50" i="2"/>
  <c r="E127" i="2"/>
  <c r="E51" i="2"/>
  <c r="E105" i="2"/>
  <c r="E52" i="2"/>
  <c r="E106" i="2"/>
  <c r="E6" i="2"/>
  <c r="E128" i="2"/>
  <c r="E53" i="2"/>
  <c r="E54" i="2"/>
  <c r="E55" i="2"/>
  <c r="E56" i="2"/>
  <c r="E29" i="2"/>
  <c r="E57" i="2"/>
  <c r="E58" i="2"/>
  <c r="E7" i="2"/>
  <c r="E59" i="2"/>
  <c r="E30" i="2"/>
  <c r="E60" i="2"/>
  <c r="E129" i="2"/>
  <c r="E61" i="2"/>
  <c r="E130" i="2"/>
  <c r="E62" i="2"/>
  <c r="E63" i="2"/>
  <c r="E31" i="2"/>
  <c r="E107" i="2"/>
  <c r="E8" i="2"/>
  <c r="E108" i="2"/>
  <c r="E9" i="2"/>
  <c r="E131" i="2"/>
  <c r="E64" i="2"/>
  <c r="E10" i="2"/>
  <c r="E11" i="2"/>
  <c r="E132" i="2"/>
  <c r="E65" i="2"/>
  <c r="E12" i="2"/>
  <c r="E133" i="2"/>
  <c r="E13" i="2"/>
  <c r="E109" i="2"/>
  <c r="E14" i="2"/>
  <c r="E110" i="2"/>
  <c r="E134" i="2"/>
  <c r="E32" i="2"/>
  <c r="E66" i="2"/>
  <c r="E67" i="2"/>
  <c r="E111" i="2"/>
  <c r="E135" i="2"/>
  <c r="E15" i="2"/>
  <c r="E68" i="2"/>
  <c r="E69" i="2"/>
  <c r="E33" i="2"/>
  <c r="E70" i="2"/>
  <c r="E136" i="2"/>
  <c r="E137" i="2"/>
  <c r="E138" i="2"/>
  <c r="E112" i="2"/>
  <c r="E113" i="2"/>
  <c r="E71" i="2"/>
  <c r="E72" i="2"/>
  <c r="E139" i="2"/>
  <c r="E73" i="2"/>
  <c r="E34" i="2"/>
  <c r="E16" i="2"/>
  <c r="E35" i="2"/>
  <c r="E36" i="2"/>
  <c r="E74" i="2"/>
  <c r="E75" i="2"/>
  <c r="E76" i="2"/>
  <c r="E140" i="2"/>
  <c r="E17" i="2"/>
  <c r="E37" i="2"/>
  <c r="E77" i="2"/>
  <c r="E78" i="2"/>
  <c r="E79" i="2"/>
  <c r="E141" i="2"/>
  <c r="E80" i="2"/>
  <c r="E38" i="2"/>
  <c r="E114" i="2"/>
  <c r="E81" i="2"/>
  <c r="E82" i="2"/>
  <c r="E18" i="2"/>
  <c r="E142" i="2"/>
  <c r="E83" i="2"/>
  <c r="E84" i="2"/>
  <c r="E115" i="2"/>
  <c r="E143" i="2"/>
  <c r="E144" i="2"/>
  <c r="E116" i="2"/>
  <c r="E19" i="2"/>
  <c r="E85" i="2"/>
  <c r="E145" i="2"/>
  <c r="E39" i="2"/>
  <c r="E40" i="2"/>
  <c r="E20" i="2"/>
  <c r="E146" i="2"/>
  <c r="E86" i="2"/>
  <c r="E87" i="2"/>
  <c r="E21" i="2"/>
  <c r="E117" i="2"/>
  <c r="E88" i="2"/>
  <c r="E22" i="2"/>
  <c r="E147" i="2"/>
  <c r="E23" i="2"/>
  <c r="E89" i="2"/>
  <c r="E118" i="2"/>
  <c r="E148" i="2"/>
  <c r="E90" i="2"/>
  <c r="E91" i="2"/>
  <c r="E92" i="2"/>
  <c r="E93" i="2"/>
  <c r="E94" i="2"/>
  <c r="E149" i="2"/>
  <c r="E95" i="2"/>
  <c r="E41" i="2"/>
  <c r="E96" i="2"/>
  <c r="E42" i="2"/>
  <c r="E119" i="2"/>
  <c r="E43" i="2"/>
  <c r="E24" i="2"/>
  <c r="E97" i="2"/>
  <c r="E98" i="2"/>
  <c r="E120" i="2"/>
  <c r="E25" i="2"/>
  <c r="E121" i="2"/>
  <c r="E150" i="2"/>
  <c r="E151" i="2"/>
  <c r="E26" i="2"/>
  <c r="O18" i="5" l="1"/>
  <c r="J18" i="5"/>
  <c r="O14" i="5"/>
  <c r="J14" i="5"/>
  <c r="O6" i="5"/>
  <c r="J6" i="5"/>
  <c r="O13" i="5"/>
  <c r="J13" i="5"/>
  <c r="O22" i="5"/>
  <c r="J22" i="5"/>
  <c r="O16" i="5"/>
  <c r="J16" i="5"/>
  <c r="O17" i="5"/>
  <c r="J17" i="5"/>
  <c r="O11" i="5"/>
  <c r="J11" i="5"/>
  <c r="O21" i="5"/>
  <c r="J21" i="5"/>
  <c r="O3" i="5"/>
  <c r="J3" i="5"/>
  <c r="O26" i="5"/>
  <c r="J26" i="5"/>
  <c r="O10" i="5"/>
  <c r="J10" i="5"/>
  <c r="O5" i="5"/>
  <c r="J5" i="5"/>
  <c r="O4" i="5"/>
  <c r="J4" i="5"/>
  <c r="O19" i="5"/>
  <c r="J19" i="5"/>
  <c r="O15" i="5"/>
  <c r="J15" i="5"/>
  <c r="O25" i="5"/>
  <c r="J25" i="5"/>
  <c r="O9" i="5"/>
  <c r="J9" i="5"/>
  <c r="O12" i="5"/>
  <c r="J12" i="5"/>
  <c r="O24" i="5"/>
  <c r="J24" i="5"/>
  <c r="O8" i="5"/>
  <c r="J8" i="5"/>
  <c r="O20" i="5"/>
  <c r="J20" i="5"/>
  <c r="O23" i="5"/>
  <c r="J23" i="5"/>
  <c r="O7" i="5"/>
  <c r="J7" i="5"/>
  <c r="J2" i="5"/>
</calcChain>
</file>

<file path=xl/sharedStrings.xml><?xml version="1.0" encoding="utf-8"?>
<sst xmlns="http://schemas.openxmlformats.org/spreadsheetml/2006/main" count="2162" uniqueCount="328">
  <si>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</si>
  <si>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</si>
  <si>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</si>
  <si>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</si>
  <si>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</si>
  <si>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</si>
  <si>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</si>
  <si>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</si>
  <si>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</si>
  <si>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</si>
  <si>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</si>
  <si>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</si>
  <si>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</si>
  <si>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</si>
  <si>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</si>
  <si>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</si>
  <si>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</si>
  <si>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</si>
  <si>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</si>
  <si>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</si>
  <si>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</si>
  <si>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</si>
  <si>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</si>
  <si>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</si>
  <si>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</si>
  <si>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</si>
  <si>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</si>
  <si>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</si>
  <si>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</si>
  <si>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</si>
  <si>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</si>
  <si>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</si>
  <si>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</si>
  <si>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</si>
  <si>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</si>
  <si>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</si>
  <si>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</si>
  <si>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</si>
  <si>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</si>
  <si>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</si>
  <si>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</si>
  <si>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</si>
  <si>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</si>
  <si>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</si>
  <si>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</si>
  <si>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</si>
  <si>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</si>
  <si>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</si>
  <si>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</si>
  <si>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</si>
  <si>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</si>
  <si>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</si>
  <si>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</si>
  <si>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</si>
  <si>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</si>
  <si>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</si>
  <si>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</si>
  <si>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</si>
  <si>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</si>
  <si>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</si>
  <si>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</si>
  <si>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</si>
  <si>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</si>
  <si>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</si>
  <si>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</si>
  <si>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</si>
  <si>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</si>
  <si>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</si>
  <si>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</si>
  <si>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</si>
  <si>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</si>
  <si>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</si>
  <si>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</si>
  <si>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</si>
  <si>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</si>
  <si>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</si>
  <si>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</si>
  <si>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</si>
  <si>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</si>
  <si>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</si>
  <si>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</si>
  <si>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</si>
  <si>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</si>
  <si>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</si>
  <si>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</si>
  <si>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</si>
  <si>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</si>
  <si>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</si>
  <si>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</si>
  <si>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</si>
  <si>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</si>
  <si>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</si>
  <si>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</si>
  <si>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</si>
  <si>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</si>
  <si>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</si>
  <si>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</si>
  <si>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</si>
  <si>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</si>
  <si>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</si>
  <si>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</si>
  <si>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</si>
  <si>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</si>
  <si>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</si>
  <si>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</si>
  <si>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</si>
  <si>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</si>
  <si>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</si>
  <si>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</si>
  <si>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</si>
  <si>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</si>
  <si>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</si>
  <si>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</si>
  <si>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</si>
  <si>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</si>
  <si>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</si>
  <si>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</si>
  <si>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</si>
  <si>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</si>
  <si>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</si>
  <si>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</si>
  <si>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</si>
  <si>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</si>
  <si>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</si>
  <si>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</si>
  <si>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</si>
  <si>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</si>
  <si>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</si>
  <si>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</si>
  <si>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</si>
  <si>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</si>
  <si>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</si>
  <si>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</si>
  <si>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</si>
  <si>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</si>
  <si>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</si>
  <si>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</si>
  <si>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</si>
  <si>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</si>
  <si>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</si>
  <si>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</si>
  <si>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</si>
  <si>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</si>
  <si>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</si>
  <si>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</si>
  <si>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</si>
  <si>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</si>
  <si>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</si>
  <si>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</si>
  <si>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</si>
  <si>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</si>
  <si>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</si>
  <si>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</si>
  <si>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</si>
  <si>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</si>
  <si>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</si>
  <si>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</si>
  <si>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</si>
  <si>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</si>
  <si>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</si>
  <si>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</si>
  <si>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</si>
  <si>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</si>
  <si>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</si>
  <si>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</si>
  <si>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</si>
  <si>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</si>
  <si>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</si>
  <si>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</si>
  <si>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</si>
  <si>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</si>
  <si>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</si>
  <si>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</si>
  <si>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</si>
  <si>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</si>
  <si>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</si>
  <si>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</si>
  <si>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</si>
  <si>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</si>
  <si>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</si>
  <si>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</si>
  <si>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</si>
  <si>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</si>
  <si>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</si>
  <si>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</si>
  <si>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</si>
  <si>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</si>
  <si>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</si>
  <si>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</si>
  <si>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</si>
  <si>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</si>
  <si>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</si>
  <si>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</si>
  <si>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</si>
  <si>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</si>
  <si>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</si>
  <si>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</si>
  <si>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</si>
  <si>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</si>
  <si>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</si>
  <si>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</si>
  <si>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</si>
  <si>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</si>
  <si>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</si>
  <si>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</si>
  <si>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</si>
  <si>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</si>
  <si>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</si>
  <si>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</si>
  <si>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</si>
  <si>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</si>
  <si>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</si>
  <si>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</si>
  <si>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</si>
  <si>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</si>
  <si>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</si>
  <si>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</si>
  <si>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</si>
  <si>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</si>
  <si>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</si>
  <si>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</si>
  <si>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</si>
  <si>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</si>
  <si>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</si>
  <si>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</si>
  <si>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</si>
  <si>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</si>
  <si>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</si>
  <si>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</si>
  <si>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</si>
  <si>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</si>
  <si>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</si>
  <si>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</si>
  <si>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</si>
  <si>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</si>
  <si>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</si>
  <si>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</si>
  <si>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</si>
  <si>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</si>
  <si>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</si>
  <si>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</si>
  <si>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</si>
  <si>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</si>
  <si>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</si>
  <si>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</si>
  <si>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</si>
  <si>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</si>
  <si>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</si>
  <si>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</si>
  <si>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</si>
  <si>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</si>
  <si>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</si>
  <si>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</si>
  <si>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</si>
  <si>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</si>
  <si>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</si>
  <si>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</si>
  <si>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</si>
  <si>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</si>
  <si>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</si>
  <si>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</si>
  <si>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</si>
  <si>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</si>
  <si>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</si>
  <si>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</si>
  <si>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</si>
  <si>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</si>
  <si>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</si>
  <si>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</si>
  <si>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</si>
  <si>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</si>
  <si>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</si>
  <si>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</si>
  <si>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</si>
  <si>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</si>
  <si>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</si>
  <si>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</si>
  <si>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</si>
  <si>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</si>
  <si>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</si>
  <si>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</si>
  <si>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Eve</t>
  </si>
  <si>
    <t>Alice</t>
  </si>
  <si>
    <t>John</t>
  </si>
  <si>
    <t>Jane</t>
  </si>
  <si>
    <t>Sam</t>
  </si>
  <si>
    <t>Chris</t>
  </si>
  <si>
    <t>Bob</t>
  </si>
  <si>
    <t>Adams</t>
  </si>
  <si>
    <t>Brown</t>
  </si>
  <si>
    <t>Doe</t>
  </si>
  <si>
    <t>Smith</t>
  </si>
  <si>
    <t>Wilson</t>
  </si>
  <si>
    <t>Lee</t>
  </si>
  <si>
    <t>Johnson</t>
  </si>
  <si>
    <t>EmployeeID</t>
  </si>
  <si>
    <t>FirstName</t>
  </si>
  <si>
    <t>LastName</t>
  </si>
  <si>
    <t>CleanedName</t>
  </si>
  <si>
    <t>PerformanceRating</t>
  </si>
  <si>
    <t>EveAdams</t>
  </si>
  <si>
    <t>AliceBrown</t>
  </si>
  <si>
    <t>JohnDoe</t>
  </si>
  <si>
    <t>JaneSmith</t>
  </si>
  <si>
    <t>SamWilson</t>
  </si>
  <si>
    <t>ChrisLee</t>
  </si>
  <si>
    <t>BobJohnson</t>
  </si>
  <si>
    <t>Date</t>
  </si>
  <si>
    <t>Experience</t>
  </si>
  <si>
    <t>Joining Year</t>
  </si>
  <si>
    <t>Joining month</t>
  </si>
  <si>
    <t>Current_Date_Time</t>
  </si>
  <si>
    <t>Joining weekday</t>
  </si>
  <si>
    <t>_</t>
  </si>
  <si>
    <t>Row Labels</t>
  </si>
  <si>
    <t>Grand Total</t>
  </si>
  <si>
    <t>Average Salary</t>
  </si>
  <si>
    <t>Employee Count</t>
  </si>
  <si>
    <t>Day 17 – Charts &amp; Graphs (Part 1)</t>
  </si>
  <si>
    <t>Practice: Bar, Column, Pie, Line charts.</t>
  </si>
  <si>
    <r>
      <t>Task:</t>
    </r>
    <r>
      <rPr>
        <sz val="13.95"/>
        <color rgb="FF000000"/>
        <rFont val="Arial"/>
        <family val="2"/>
      </rPr>
      <t xml:space="preserve"> Visualize key KPIs (such as total sales or average score).</t>
    </r>
  </si>
  <si>
    <t>Sum of PerformanceRating</t>
  </si>
  <si>
    <t>Sum of Salary</t>
  </si>
  <si>
    <t>(blank)</t>
  </si>
  <si>
    <t xml:space="preserve">Practiced </t>
  </si>
  <si>
    <t>Created Bar chart for Employee performance by Department</t>
  </si>
  <si>
    <t>Created Clustered Column Chart for Employee count for Department</t>
  </si>
  <si>
    <t>Created Bar chart for Average Salary by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</si>
</sst>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_ [$₹-4009]\ * #,##0.00_ ;_ [$₹-4009]\ * \-#,##0.00_ ;_ [$₹-4009]\ * &quot;-&quot;??_ ;_ @_ "/>
    <numFmt numFmtId="166" formatCode="[$-14009]dd/mm/yyyy;@"/>
    <numFmt numFmtId="167" formatCode="&quot;₹&quot;\ #,##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3.95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3.95"/>
      <color rgb="FF0B5394"/>
      <name val="Arial"/>
      <family val="2"/>
    </font>
    <font>
      <b/>
      <sz val="13.95"/>
      <color rgb="FF0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auto="1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20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vertical="center" indent="1"/>
    </xf>
    <xf numFmtId="22" fontId="0" fillId="0" borderId="0" xfId="0" applyNumberFormat="1"/>
    <xf numFmtId="0" fontId="4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5" fillId="2" borderId="3" xfId="0" applyFont="1" applyFill="1" applyBorder="1"/>
    <xf numFmtId="0" fontId="0" fillId="3" borderId="5" xfId="0" applyFill="1" applyBorder="1"/>
    <xf numFmtId="0" fontId="0" fillId="4" borderId="5" xfId="0" applyFill="1" applyBorder="1"/>
    <xf numFmtId="0" fontId="5" fillId="2" borderId="4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165" fontId="5" fillId="2" borderId="1" xfId="0" applyNumberFormat="1" applyFont="1" applyFill="1" applyBorder="1" applyAlignment="1">
      <alignment horizontal="center" vertical="top"/>
    </xf>
    <xf numFmtId="166" fontId="5" fillId="2" borderId="1" xfId="0" applyNumberFormat="1" applyFont="1" applyFill="1" applyBorder="1" applyAlignment="1">
      <alignment horizontal="center" vertical="top"/>
    </xf>
    <xf numFmtId="167" fontId="0" fillId="0" borderId="0" xfId="0" applyNumberForma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9" fillId="0" borderId="0" xfId="0" applyFont="1"/>
    <xf numFmtId="0" fontId="0" fillId="0" borderId="0" xfId="0" applyNumberFormat="1"/>
    <xf numFmtId="0" fontId="10" fillId="0" borderId="0" xfId="0" applyFont="1"/>
  </cellXfs>
  <cellStyles count="1">
    <cellStyle name="Normal" xfId="0" builtinId="0"/>
  </cellStyles>
  <dxfs count="35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24994659260841701"/>
      </font>
    </dxf>
    <dxf>
      <font>
        <color rgb="FFFF0000"/>
      </font>
    </dxf>
    <dxf>
      <font>
        <color theme="3" tint="0.79998168889431442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5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17_Graphs_Charts.xlsx]Sheet2!PivotTable2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</a:t>
            </a:r>
            <a:r>
              <a:rPr lang="en-US" baseline="0"/>
              <a:t> Experience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Sheet2!$A$2:$A$9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  <c:pt idx="6">
                  <c:v>(blank)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7"/>
                <c:pt idx="0">
                  <c:v>58</c:v>
                </c:pt>
                <c:pt idx="1">
                  <c:v>66</c:v>
                </c:pt>
                <c:pt idx="2">
                  <c:v>74</c:v>
                </c:pt>
                <c:pt idx="3">
                  <c:v>97</c:v>
                </c:pt>
                <c:pt idx="4">
                  <c:v>72</c:v>
                </c:pt>
                <c:pt idx="5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36-4005-B239-773369402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17_Graphs_Charts.xlsx]Pivot tables_Chart!PivotTable1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tables_Chart'!$B$3</c:f>
              <c:strCache>
                <c:ptCount val="1"/>
                <c:pt idx="0">
                  <c:v>Average Salary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tables_Chart'!$A$4:$A$10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tables_Chart'!$B$4:$B$10</c:f>
              <c:numCache>
                <c:formatCode>_ [$₹-4009]\ * #,##0.00_ ;_ [$₹-4009]\ * \-#,##0.00_ ;_ [$₹-4009]\ * "-"??_ ;_ @_ </c:formatCode>
                <c:ptCount val="6"/>
                <c:pt idx="0">
                  <c:v>65666.045454545456</c:v>
                </c:pt>
                <c:pt idx="1">
                  <c:v>67769.833333333328</c:v>
                </c:pt>
                <c:pt idx="2">
                  <c:v>66162.44</c:v>
                </c:pt>
                <c:pt idx="3">
                  <c:v>63955.068965517239</c:v>
                </c:pt>
                <c:pt idx="4">
                  <c:v>67865.692307692312</c:v>
                </c:pt>
                <c:pt idx="5">
                  <c:v>66572.708333333328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E-48F7-9C52-68842403244C}"/>
            </c:ext>
          </c:extLst>
        </c:ser>
        <c:ser>
          <c:idx val="1"/>
          <c:order val="1"/>
          <c:tx>
            <c:strRef>
              <c:f>'Pivot tables_Chart'!$C$3</c:f>
              <c:strCache>
                <c:ptCount val="1"/>
                <c:pt idx="0">
                  <c:v>Employee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tables_Chart'!$A$4:$A$10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tables_Chart'!$C$4:$C$10</c:f>
              <c:numCache>
                <c:formatCode>General</c:formatCode>
                <c:ptCount val="6"/>
                <c:pt idx="0">
                  <c:v>22</c:v>
                </c:pt>
                <c:pt idx="1">
                  <c:v>24</c:v>
                </c:pt>
                <c:pt idx="2">
                  <c:v>25</c:v>
                </c:pt>
                <c:pt idx="3">
                  <c:v>29</c:v>
                </c:pt>
                <c:pt idx="4">
                  <c:v>26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0E-48F7-9C52-688424032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17_Graphs_Charts.xlsx]Pivot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Salary by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Chart'!$A$2:$A$9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  <c:pt idx="6">
                  <c:v>(blank)</c:v>
                </c:pt>
              </c:strCache>
            </c:strRef>
          </c:cat>
          <c:val>
            <c:numRef>
              <c:f>'Pivot Chart'!$B$2:$B$9</c:f>
              <c:numCache>
                <c:formatCode>General</c:formatCode>
                <c:ptCount val="7"/>
                <c:pt idx="0">
                  <c:v>1444653</c:v>
                </c:pt>
                <c:pt idx="1">
                  <c:v>1626476</c:v>
                </c:pt>
                <c:pt idx="2">
                  <c:v>1654061</c:v>
                </c:pt>
                <c:pt idx="3">
                  <c:v>1854697</c:v>
                </c:pt>
                <c:pt idx="4">
                  <c:v>1764508</c:v>
                </c:pt>
                <c:pt idx="5">
                  <c:v>1597745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B0-418B-B145-382421CB7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7682959"/>
        <c:axId val="1227691599"/>
      </c:barChart>
      <c:catAx>
        <c:axId val="122768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691599"/>
        <c:crosses val="autoZero"/>
        <c:auto val="1"/>
        <c:lblAlgn val="ctr"/>
        <c:lblOffset val="100"/>
        <c:noMultiLvlLbl val="0"/>
      </c:catAx>
      <c:valAx>
        <c:axId val="122769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68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17_Graphs_Charts.xlsx]Pivot tables_Chart!PivotTable1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</a:t>
            </a:r>
            <a:r>
              <a:rPr lang="en-IN" baseline="0"/>
              <a:t> Department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tables_Chart'!$B$3</c:f>
              <c:strCache>
                <c:ptCount val="1"/>
                <c:pt idx="0">
                  <c:v>Average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tables_Chart'!$A$4:$A$10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tables_Chart'!$B$4:$B$10</c:f>
              <c:numCache>
                <c:formatCode>_ [$₹-4009]\ * #,##0.00_ ;_ [$₹-4009]\ * \-#,##0.00_ ;_ [$₹-4009]\ * "-"??_ ;_ @_ </c:formatCode>
                <c:ptCount val="6"/>
                <c:pt idx="0">
                  <c:v>65666.045454545456</c:v>
                </c:pt>
                <c:pt idx="1">
                  <c:v>67769.833333333328</c:v>
                </c:pt>
                <c:pt idx="2">
                  <c:v>66162.44</c:v>
                </c:pt>
                <c:pt idx="3">
                  <c:v>63955.068965517239</c:v>
                </c:pt>
                <c:pt idx="4">
                  <c:v>67865.692307692312</c:v>
                </c:pt>
                <c:pt idx="5">
                  <c:v>66572.708333333328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C-4DFA-8EAC-4B0BE994BC0C}"/>
            </c:ext>
          </c:extLst>
        </c:ser>
        <c:ser>
          <c:idx val="1"/>
          <c:order val="1"/>
          <c:tx>
            <c:strRef>
              <c:f>'Pivot tables_Chart'!$C$3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tables_Chart'!$A$4:$A$10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tables_Chart'!$C$4:$C$10</c:f>
              <c:numCache>
                <c:formatCode>General</c:formatCode>
                <c:ptCount val="6"/>
                <c:pt idx="0">
                  <c:v>22</c:v>
                </c:pt>
                <c:pt idx="1">
                  <c:v>24</c:v>
                </c:pt>
                <c:pt idx="2">
                  <c:v>25</c:v>
                </c:pt>
                <c:pt idx="3">
                  <c:v>29</c:v>
                </c:pt>
                <c:pt idx="4">
                  <c:v>26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C-4DFA-8EAC-4B0BE994B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5462223"/>
        <c:axId val="2025462703"/>
      </c:barChart>
      <c:catAx>
        <c:axId val="2025462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462703"/>
        <c:crosses val="autoZero"/>
        <c:auto val="1"/>
        <c:lblAlgn val="ctr"/>
        <c:lblOffset val="100"/>
        <c:noMultiLvlLbl val="0"/>
      </c:catAx>
      <c:valAx>
        <c:axId val="202546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46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17_Graphs_Charts.xlsx]Sheet2!PivotTable2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</a:t>
            </a:r>
            <a:r>
              <a:rPr lang="en-US" baseline="0"/>
              <a:t> Performance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Sheet2!$A$2:$A$9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  <c:pt idx="6">
                  <c:v>(blank)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7"/>
                <c:pt idx="0">
                  <c:v>58</c:v>
                </c:pt>
                <c:pt idx="1">
                  <c:v>66</c:v>
                </c:pt>
                <c:pt idx="2">
                  <c:v>74</c:v>
                </c:pt>
                <c:pt idx="3">
                  <c:v>97</c:v>
                </c:pt>
                <c:pt idx="4">
                  <c:v>72</c:v>
                </c:pt>
                <c:pt idx="5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AC7-40BE-91FC-C884B3C46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920750</xdr:colOff>
      <xdr:row>0</xdr:row>
      <xdr:rowOff>177800</xdr:rowOff>
    </xdr:from>
    <xdr:to>
      <xdr:col>9</xdr:col>
      <xdr:colOff>590550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5EA796-7763-1702-1627-2E6A724CC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996950</xdr:colOff>
      <xdr:row>0</xdr:row>
      <xdr:rowOff>63500</xdr:rowOff>
    </xdr:from>
    <xdr:to>
      <xdr:col>9</xdr:col>
      <xdr:colOff>469900</xdr:colOff>
      <xdr:row>10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3C6AC2-5420-8EDB-5D16-C433893F6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11</xdr:row>
      <xdr:rowOff>19050</xdr:rowOff>
    </xdr:from>
    <xdr:to>
      <xdr:col>4</xdr:col>
      <xdr:colOff>260350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8161D2-C87A-3C46-C913-37F0F8551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273050</xdr:colOff>
      <xdr:row>11</xdr:row>
      <xdr:rowOff>82550</xdr:rowOff>
    </xdr:from>
    <xdr:to>
      <xdr:col>11</xdr:col>
      <xdr:colOff>234950</xdr:colOff>
      <xdr:row>26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DE0AE1-9A10-4BC3-A58C-024CE229B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577850</xdr:colOff>
      <xdr:row>43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6AB219-28FF-4EDB-A15B-3A174C19C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RAJ J" refreshedDate="46088.418316203701" createdVersion="8" refreshedVersion="8" minRefreshableVersion="3" recordCount="150" xr:uid="{3494E93F-CE72-48A1-B311-DE476F87D973}">
  <cacheSource type="worksheet">
    <worksheetSource name="Table1"/>
  </cacheSource>
  <cacheFields count="17">
    <cacheField name="EmployeeID" numFmtId="0">
      <sharedItems/>
    </cacheField>
    <cacheField name="Name" numFmtId="0">
      <sharedItems/>
    </cacheField>
    <cacheField name="FirstName" numFmtId="0">
      <sharedItems/>
    </cacheField>
    <cacheField name="LastName" numFmtId="0">
      <sharedItems/>
    </cacheField>
    <cacheField name="CleanedName" numFmtId="0">
      <sharedItems/>
    </cacheField>
    <cacheField name="Department" numFmtId="0">
      <sharedItems count="6">
        <s v="IT"/>
        <s v="Sales"/>
        <s v="Unknown"/>
        <s v="Finance"/>
        <s v="Marketing"/>
        <s v="HR"/>
      </sharedItems>
    </cacheField>
    <cacheField name="Country" numFmtId="0">
      <sharedItems/>
    </cacheField>
    <cacheField name="Salary" numFmtId="165">
      <sharedItems containsSemiMixedTypes="0" containsString="0" containsNumber="1" containsInteger="1" minValue="30280" maxValue="99621"/>
    </cacheField>
    <cacheField name="Date" numFmtId="14">
      <sharedItems containsDate="1" containsMixedTypes="1" minDate="2015-01-11T00:00:00" maxDate="2017-11-13T00:00:00"/>
    </cacheField>
    <cacheField name="Experience" numFmtId="0">
      <sharedItems containsMixedTypes="1" containsNumber="1" containsInteger="1" minValue="8" maxValue="11"/>
    </cacheField>
    <cacheField name="Joining Year" numFmtId="0">
      <sharedItems containsMixedTypes="1" containsNumber="1" containsInteger="1" minValue="2015" maxValue="2017"/>
    </cacheField>
    <cacheField name="Joining month" numFmtId="0">
      <sharedItems containsMixedTypes="1" containsNumber="1" containsInteger="1" minValue="1" maxValue="12"/>
    </cacheField>
    <cacheField name="Joining weekday" numFmtId="0">
      <sharedItems containsMixedTypes="1" containsNumber="1" containsInteger="1" minValue="1" maxValue="1"/>
    </cacheField>
    <cacheField name="Current_Date_Time" numFmtId="22">
      <sharedItems containsSemiMixedTypes="0" containsNonDate="0" containsDate="1" containsString="0" minDate="2026-03-07T09:54:02" maxDate="2026-03-07T09:54:02"/>
    </cacheField>
    <cacheField name="PerformanceRating" numFmtId="0">
      <sharedItems containsSemiMixedTypes="0" containsString="0" containsNumber="1" containsInteger="1" minValue="1" maxValue="5"/>
    </cacheField>
    <cacheField name="Gender" numFmtId="0">
      <sharedItems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RAJ J" refreshedDate="46090.821010185187" createdVersion="8" refreshedVersion="8" minRefreshableVersion="3" recordCount="151" xr:uid="{682799EC-0C11-4478-9269-EBFD5377D836}">
  <cacheSource type="worksheet">
    <worksheetSource ref="A1:Q1048576" sheet="Employee_Cleaned"/>
  </cacheSource>
  <cacheFields count="17">
    <cacheField name="EmployeeID" numFmtId="0">
      <sharedItems containsBlank="1" count="151">
        <s v="EMP1011"/>
        <s v="EMP1012"/>
        <s v="EMP1019"/>
        <s v="EMP1022"/>
        <s v="EMP1029"/>
        <s v="EMP1038"/>
        <s v="EMP1049"/>
        <s v="EMP1051"/>
        <s v="EMP1054"/>
        <s v="EMP1055"/>
        <s v="EMP1058"/>
        <s v="EMP1060"/>
        <s v="EMP1062"/>
        <s v="EMP1070"/>
        <s v="EMP1085"/>
        <s v="EMP1092"/>
        <s v="EMP1103"/>
        <s v="EMP1111"/>
        <s v="EMP1116"/>
        <s v="EMP1120"/>
        <s v="EMP1123"/>
        <s v="EMP1125"/>
        <s v="EMP1141"/>
        <s v="EMP1145"/>
        <s v="EMP1149"/>
        <s v="EMP1013"/>
        <s v="EMP1021"/>
        <s v="EMP1035"/>
        <s v="EMP1040"/>
        <s v="EMP1047"/>
        <s v="EMP1065"/>
        <s v="EMP1073"/>
        <s v="EMP1084"/>
        <s v="EMP1086"/>
        <s v="EMP1087"/>
        <s v="EMP1093"/>
        <s v="EMP1099"/>
        <s v="EMP1114"/>
        <s v="EMP1115"/>
        <s v="EMP1136"/>
        <s v="EMP1138"/>
        <s v="EMP1140"/>
        <s v="EMP1006"/>
        <s v="EMP1008"/>
        <s v="EMP1009"/>
        <s v="EMP1015"/>
        <s v="EMP1016"/>
        <s v="EMP1018"/>
        <s v="EMP1023"/>
        <s v="EMP1025"/>
        <s v="EMP1027"/>
        <s v="EMP1031"/>
        <s v="EMP1032"/>
        <s v="EMP1033"/>
        <s v="EMP1034"/>
        <s v="EMP1036"/>
        <s v="EMP1037"/>
        <s v="EMP1039"/>
        <s v="EMP1041"/>
        <s v="EMP1043"/>
        <s v="EMP1045"/>
        <s v="EMP1046"/>
        <s v="EMP1053"/>
        <s v="EMP1057"/>
        <s v="EMP1066"/>
        <s v="EMP1067"/>
        <s v="EMP1071"/>
        <s v="EMP1072"/>
        <s v="EMP1074"/>
        <s v="EMP1080"/>
        <s v="EMP1081"/>
        <s v="EMP1083"/>
        <s v="EMP1088"/>
        <s v="EMP1089"/>
        <s v="EMP1090"/>
        <s v="EMP1094"/>
        <s v="EMP1095"/>
        <s v="EMP1096"/>
        <s v="EMP1098"/>
        <s v="EMP1101"/>
        <s v="EMP1102"/>
        <s v="EMP1105"/>
        <s v="EMP1106"/>
        <s v="EMP1112"/>
        <s v="EMP1118"/>
        <s v="EMP1119"/>
        <s v="EMP1122"/>
        <s v="EMP1126"/>
        <s v="EMP1129"/>
        <s v="EMP1130"/>
        <s v="EMP1131"/>
        <s v="EMP1132"/>
        <s v="EMP1133"/>
        <s v="EMP1135"/>
        <s v="EMP1137"/>
        <s v="EMP1142"/>
        <s v="EMP1143"/>
        <s v="EMP1000"/>
        <s v="EMP1002"/>
        <s v="EMP1005"/>
        <s v="EMP1007"/>
        <s v="EMP1014"/>
        <s v="EMP1020"/>
        <s v="EMP1026"/>
        <s v="EMP1028"/>
        <s v="EMP1048"/>
        <s v="EMP1050"/>
        <s v="EMP1061"/>
        <s v="EMP1063"/>
        <s v="EMP1068"/>
        <s v="EMP1078"/>
        <s v="EMP1079"/>
        <s v="EMP1100"/>
        <s v="EMP1107"/>
        <s v="EMP1110"/>
        <s v="EMP1121"/>
        <s v="EMP1127"/>
        <s v="EMP1139"/>
        <s v="EMP1144"/>
        <s v="EMP1146"/>
        <s v="EMP1001"/>
        <s v="EMP1003"/>
        <s v="EMP1004"/>
        <s v="EMP1010"/>
        <s v="EMP1017"/>
        <s v="EMP1024"/>
        <s v="EMP1030"/>
        <s v="EMP1042"/>
        <s v="EMP1044"/>
        <s v="EMP1052"/>
        <s v="EMP1056"/>
        <s v="EMP1059"/>
        <s v="EMP1064"/>
        <s v="EMP1069"/>
        <s v="EMP1075"/>
        <s v="EMP1076"/>
        <s v="EMP1077"/>
        <s v="EMP1082"/>
        <s v="EMP1091"/>
        <s v="EMP1097"/>
        <s v="EMP1104"/>
        <s v="EMP1108"/>
        <s v="EMP1109"/>
        <s v="EMP1113"/>
        <s v="EMP1117"/>
        <s v="EMP1124"/>
        <s v="EMP1128"/>
        <s v="EMP1134"/>
        <s v="EMP1147"/>
        <s v="EMP1148"/>
        <m/>
      </sharedItems>
    </cacheField>
    <cacheField name="Name" numFmtId="0">
      <sharedItems containsBlank="1"/>
    </cacheField>
    <cacheField name="FirstName" numFmtId="0">
      <sharedItems containsBlank="1"/>
    </cacheField>
    <cacheField name="LastName" numFmtId="0">
      <sharedItems containsBlank="1"/>
    </cacheField>
    <cacheField name="CleanedName" numFmtId="0">
      <sharedItems containsBlank="1"/>
    </cacheField>
    <cacheField name="Department" numFmtId="0">
      <sharedItems containsBlank="1" count="7">
        <s v="IT"/>
        <s v="Sales"/>
        <s v="Unknown"/>
        <s v="Finance"/>
        <s v="Marketing"/>
        <s v="HR"/>
        <m/>
      </sharedItems>
    </cacheField>
    <cacheField name="Country" numFmtId="0">
      <sharedItems containsBlank="1"/>
    </cacheField>
    <cacheField name="Salary" numFmtId="165">
      <sharedItems containsString="0" containsBlank="1" containsNumber="1" containsInteger="1" minValue="30280" maxValue="99621"/>
    </cacheField>
    <cacheField name="Date" numFmtId="0">
      <sharedItems containsDate="1" containsBlank="1" containsMixedTypes="1" minDate="2015-01-11T00:00:00" maxDate="2017-11-13T00:00:00"/>
    </cacheField>
    <cacheField name="Experience" numFmtId="0">
      <sharedItems containsBlank="1" containsMixedTypes="1" containsNumber="1" containsInteger="1" minValue="8" maxValue="11"/>
    </cacheField>
    <cacheField name="Joining Year" numFmtId="0">
      <sharedItems containsBlank="1" containsMixedTypes="1" containsNumber="1" containsInteger="1" minValue="2015" maxValue="2017"/>
    </cacheField>
    <cacheField name="Joining month" numFmtId="0">
      <sharedItems containsBlank="1" containsMixedTypes="1" containsNumber="1" containsInteger="1" minValue="1" maxValue="12"/>
    </cacheField>
    <cacheField name="Joining weekday" numFmtId="0">
      <sharedItems containsBlank="1" containsMixedTypes="1" containsNumber="1" containsInteger="1" minValue="1" maxValue="1"/>
    </cacheField>
    <cacheField name="Current_Date_Time" numFmtId="0">
      <sharedItems containsNonDate="0" containsDate="1" containsString="0" containsBlank="1" minDate="2026-03-09T19:39:36" maxDate="2026-03-09T19:39:36"/>
    </cacheField>
    <cacheField name="PerformanceRating" numFmtId="0">
      <sharedItems containsString="0" containsBlank="1" containsNumber="1" containsInteger="1" minValue="1" maxValue="5"/>
    </cacheField>
    <cacheField name="Gender" numFmtId="0">
      <sharedItems containsBlank="1" count="5">
        <s v="Male"/>
        <s v="Female"/>
        <s v="Unknown"/>
        <s v="Other"/>
        <m/>
      </sharedItems>
    </cacheField>
    <cacheField name="Em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11"/>
    <s v="SamWilson"/>
    <s v="Sam"/>
    <s v="Wilson"/>
    <s v="SamWilson"/>
    <x v="0"/>
    <s v="USA"/>
    <n v="91180"/>
    <d v="2015-03-22T00:00:00"/>
    <n v="10"/>
    <n v="2015"/>
    <n v="3"/>
    <n v="1"/>
    <d v="2026-03-07T09:54:02"/>
    <n v="5"/>
    <s v="Male"/>
    <s v="user1@example.com"/>
  </r>
  <r>
    <s v="EMP1012"/>
    <s v="BobJohnson"/>
    <s v="Bob"/>
    <s v="Johnson"/>
    <s v="BobJohnson"/>
    <x v="1"/>
    <s v="Unknown"/>
    <n v="96418"/>
    <d v="2015-03-29T00:00:00"/>
    <n v="10"/>
    <n v="2015"/>
    <n v="3"/>
    <n v="1"/>
    <d v="2026-03-07T09:54:02"/>
    <n v="5"/>
    <s v="Male"/>
    <s v="user106@example.com"/>
  </r>
  <r>
    <s v="EMP1019"/>
    <s v="EveAdams"/>
    <s v="Eve"/>
    <s v="Adams"/>
    <s v="EveAdams"/>
    <x v="2"/>
    <s v="India"/>
    <n v="67531"/>
    <d v="2015-05-17T00:00:00"/>
    <n v="10"/>
    <n v="2015"/>
    <n v="5"/>
    <n v="1"/>
    <d v="2026-03-07T09:54:02"/>
    <n v="5"/>
    <s v="Female"/>
    <s v="user151@example.com"/>
  </r>
  <r>
    <s v="EMP1022"/>
    <s v="EveAdams"/>
    <s v="Eve"/>
    <s v="Adams"/>
    <s v="EveAdams"/>
    <x v="3"/>
    <s v="India"/>
    <n v="38333"/>
    <d v="2015-06-07T00:00:00"/>
    <n v="10"/>
    <n v="2015"/>
    <n v="6"/>
    <n v="1"/>
    <d v="2026-03-07T09:54:02"/>
    <n v="5"/>
    <s v="Unknown"/>
    <s v="user128@example.com"/>
  </r>
  <r>
    <s v="EMP1029"/>
    <s v="BobJohnson"/>
    <s v="Bob"/>
    <s v="Johnson"/>
    <s v="BobJohnson"/>
    <x v="4"/>
    <s v="UK"/>
    <n v="92959"/>
    <d v="2015-07-26T00:00:00"/>
    <n v="10"/>
    <n v="2015"/>
    <n v="7"/>
    <n v="1"/>
    <d v="2026-03-07T09:54:02"/>
    <n v="5"/>
    <s v="Unknown"/>
    <s v="user83@example.com"/>
  </r>
  <r>
    <s v="EMP1038"/>
    <s v="JohnDoe"/>
    <s v="John"/>
    <s v="Doe"/>
    <s v="JohnDoe"/>
    <x v="4"/>
    <s v="UK"/>
    <n v="52093"/>
    <d v="2015-09-27T00:00:00"/>
    <n v="10"/>
    <n v="2015"/>
    <n v="9"/>
    <n v="1"/>
    <d v="2026-03-07T09:54:02"/>
    <n v="5"/>
    <s v="Unknown"/>
    <s v="user154@example.com"/>
  </r>
  <r>
    <s v="EMP1049"/>
    <s v="EveAdams"/>
    <s v="Eve"/>
    <s v="Adams"/>
    <s v="EveAdams"/>
    <x v="5"/>
    <s v="Germany"/>
    <n v="78720"/>
    <d v="2015-12-13T00:00:00"/>
    <n v="10"/>
    <n v="2015"/>
    <n v="12"/>
    <n v="1"/>
    <d v="2026-03-07T09:54:02"/>
    <n v="5"/>
    <s v="Female"/>
    <s v="user89@example.com"/>
  </r>
  <r>
    <s v="EMP1051"/>
    <s v="SamWilson"/>
    <s v="Sam"/>
    <s v="Wilson"/>
    <s v="SamWilson"/>
    <x v="1"/>
    <s v="India"/>
    <n v="39423"/>
    <d v="2015-12-27T00:00:00"/>
    <n v="10"/>
    <n v="2015"/>
    <n v="12"/>
    <n v="1"/>
    <d v="2026-03-07T09:54:02"/>
    <n v="5"/>
    <s v="Unknown"/>
    <s v="user59@example.com"/>
  </r>
  <r>
    <s v="EMP1054"/>
    <s v="BobJohnson"/>
    <s v="Bob"/>
    <s v="Johnson"/>
    <s v="BobJohnson"/>
    <x v="4"/>
    <s v="UK"/>
    <n v="75633"/>
    <d v="2016-01-17T00:00:00"/>
    <n v="10"/>
    <n v="2016"/>
    <n v="1"/>
    <n v="1"/>
    <d v="2026-03-07T09:54:02"/>
    <n v="5"/>
    <s v="Other"/>
    <s v="user92@example.com"/>
  </r>
  <r>
    <s v="EMP1055"/>
    <s v="ChrisLee"/>
    <s v="Chris"/>
    <s v="Lee"/>
    <s v="ChrisLee"/>
    <x v="2"/>
    <s v="USA"/>
    <n v="74815"/>
    <d v="2016-01-24T00:00:00"/>
    <n v="10"/>
    <n v="2016"/>
    <n v="1"/>
    <n v="1"/>
    <d v="2026-03-07T09:54:02"/>
    <n v="5"/>
    <s v="Female"/>
    <s v="user50@example.com"/>
  </r>
  <r>
    <s v="EMP1058"/>
    <s v="SamWilson"/>
    <s v="Sam"/>
    <s v="Wilson"/>
    <s v="SamWilson"/>
    <x v="4"/>
    <s v="Unknown"/>
    <n v="84924"/>
    <d v="2016-02-14T00:00:00"/>
    <n v="10"/>
    <n v="2016"/>
    <n v="2"/>
    <n v="1"/>
    <d v="2026-03-07T09:54:02"/>
    <n v="5"/>
    <s v="Male"/>
    <s v="user150@example.com"/>
  </r>
  <r>
    <s v="EMP1060"/>
    <s v="Unknown"/>
    <s v="Unknown"/>
    <s v="Unknown"/>
    <s v="Unknown"/>
    <x v="4"/>
    <s v="Germany"/>
    <n v="66281"/>
    <s v="Unknown"/>
    <s v="Unknown"/>
    <s v="Unknown"/>
    <s v="Unknown"/>
    <s v="Unknown"/>
    <d v="2026-03-07T09:54:02"/>
    <n v="5"/>
    <s v="Unknown"/>
    <s v="user112@example.com"/>
  </r>
  <r>
    <s v="EMP1062"/>
    <s v="ChrisLee"/>
    <s v="Chris"/>
    <s v="Lee"/>
    <s v="ChrisLee"/>
    <x v="0"/>
    <s v="UK"/>
    <n v="97981"/>
    <d v="2016-03-13T00:00:00"/>
    <n v="9"/>
    <n v="2016"/>
    <n v="3"/>
    <n v="1"/>
    <d v="2026-03-07T09:54:02"/>
    <n v="5"/>
    <s v="Female"/>
    <s v="user71@example.com"/>
  </r>
  <r>
    <s v="EMP1070"/>
    <s v="EveAdams"/>
    <s v="Eve"/>
    <s v="Adams"/>
    <s v="EveAdams"/>
    <x v="1"/>
    <s v="Australia"/>
    <n v="69952"/>
    <d v="2016-05-08T00:00:00"/>
    <n v="9"/>
    <n v="2016"/>
    <n v="5"/>
    <n v="1"/>
    <d v="2026-03-07T09:54:02"/>
    <n v="5"/>
    <s v="Female"/>
    <s v="Unknown"/>
  </r>
  <r>
    <s v="EMP1085"/>
    <s v="ChrisLee"/>
    <s v="Chris"/>
    <s v="Lee"/>
    <s v="ChrisLee"/>
    <x v="3"/>
    <s v="Unknown"/>
    <n v="35163"/>
    <d v="2016-08-21T00:00:00"/>
    <n v="9"/>
    <n v="2016"/>
    <n v="8"/>
    <n v="1"/>
    <d v="2026-03-07T09:54:02"/>
    <n v="5"/>
    <s v="Other"/>
    <s v="user197@example.com"/>
  </r>
  <r>
    <s v="EMP1092"/>
    <s v="JaneSmith"/>
    <s v="Jane"/>
    <s v="Smith"/>
    <s v="JaneSmith"/>
    <x v="0"/>
    <s v="Unknown"/>
    <n v="80588"/>
    <d v="2016-10-09T00:00:00"/>
    <n v="9"/>
    <n v="2016"/>
    <n v="10"/>
    <n v="1"/>
    <d v="2026-03-07T09:54:02"/>
    <n v="5"/>
    <s v="Male"/>
    <s v="user98@example.com"/>
  </r>
  <r>
    <s v="EMP1103"/>
    <s v="AliceBrown"/>
    <s v="Alice"/>
    <s v="Brown"/>
    <s v="AliceBrown"/>
    <x v="4"/>
    <s v="Unknown"/>
    <n v="79145"/>
    <d v="2016-12-25T00:00:00"/>
    <n v="9"/>
    <n v="2016"/>
    <n v="12"/>
    <n v="1"/>
    <d v="2026-03-07T09:54:02"/>
    <n v="5"/>
    <s v="Other"/>
    <s v="user20@example.com"/>
  </r>
  <r>
    <s v="EMP1111"/>
    <s v="ChrisLee"/>
    <s v="Chris"/>
    <s v="Lee"/>
    <s v="ChrisLee"/>
    <x v="0"/>
    <s v="USA"/>
    <n v="34306"/>
    <d v="2017-02-19T00:00:00"/>
    <n v="9"/>
    <n v="2017"/>
    <n v="2"/>
    <n v="1"/>
    <d v="2026-03-07T09:54:02"/>
    <n v="5"/>
    <s v="Female"/>
    <s v="user192@example.com"/>
  </r>
  <r>
    <s v="EMP1116"/>
    <s v="BobJohnson"/>
    <s v="Bob"/>
    <s v="Johnson"/>
    <s v="BobJohnson"/>
    <x v="4"/>
    <s v="Australia"/>
    <n v="38837"/>
    <d v="2017-03-26T00:00:00"/>
    <n v="8"/>
    <n v="2017"/>
    <n v="3"/>
    <n v="1"/>
    <d v="2026-03-07T09:54:02"/>
    <n v="5"/>
    <s v="Female"/>
    <s v="user192@example.com"/>
  </r>
  <r>
    <s v="EMP1120"/>
    <s v="Unknown"/>
    <s v="Unknown"/>
    <s v="Unknown"/>
    <s v="Unknown"/>
    <x v="0"/>
    <s v="USA"/>
    <n v="66281"/>
    <s v="Unknown"/>
    <s v="Unknown"/>
    <s v="Unknown"/>
    <s v="Unknown"/>
    <s v="Unknown"/>
    <d v="2026-03-07T09:54:02"/>
    <n v="5"/>
    <s v="Unknown"/>
    <s v="user101@example.com"/>
  </r>
  <r>
    <s v="EMP1123"/>
    <s v="JaneSmith"/>
    <s v="Jane"/>
    <s v="Smith"/>
    <s v="JaneSmith"/>
    <x v="2"/>
    <s v="Germany"/>
    <n v="30357"/>
    <d v="2017-05-14T00:00:00"/>
    <n v="8"/>
    <n v="2017"/>
    <n v="5"/>
    <n v="1"/>
    <d v="2026-03-07T09:54:02"/>
    <n v="5"/>
    <s v="Male"/>
    <s v="user145@example.com"/>
  </r>
  <r>
    <s v="EMP1125"/>
    <s v="JohnDoe"/>
    <s v="John"/>
    <s v="Doe"/>
    <s v="JohnDoe"/>
    <x v="3"/>
    <s v="Unknown"/>
    <n v="90019"/>
    <d v="2017-05-28T00:00:00"/>
    <n v="8"/>
    <n v="2017"/>
    <n v="5"/>
    <n v="1"/>
    <d v="2026-03-07T09:54:02"/>
    <n v="5"/>
    <s v="Unknown"/>
    <s v="user52@example.com"/>
  </r>
  <r>
    <s v="EMP1141"/>
    <s v="JaneSmith"/>
    <s v="Jane"/>
    <s v="Smith"/>
    <s v="JaneSmith"/>
    <x v="4"/>
    <s v="USA"/>
    <n v="66882"/>
    <d v="2017-09-17T00:00:00"/>
    <n v="8"/>
    <n v="2017"/>
    <n v="9"/>
    <n v="1"/>
    <d v="2026-03-07T09:54:02"/>
    <n v="5"/>
    <s v="Other"/>
    <s v="user103@example.com"/>
  </r>
  <r>
    <s v="EMP1145"/>
    <s v="SamWilson"/>
    <s v="Sam"/>
    <s v="Wilson"/>
    <s v="SamWilson"/>
    <x v="1"/>
    <s v="Australia"/>
    <n v="35627"/>
    <d v="2017-10-15T00:00:00"/>
    <n v="8"/>
    <n v="2017"/>
    <n v="10"/>
    <n v="1"/>
    <d v="2026-03-07T09:54:02"/>
    <n v="5"/>
    <s v="Female"/>
    <s v="user188@example.com"/>
  </r>
  <r>
    <s v="EMP1149"/>
    <s v="SamWilson"/>
    <s v="Sam"/>
    <s v="Wilson"/>
    <s v="SamWilson"/>
    <x v="4"/>
    <s v="India"/>
    <n v="98475"/>
    <d v="2017-11-12T00:00:00"/>
    <n v="8"/>
    <n v="2017"/>
    <n v="11"/>
    <n v="1"/>
    <d v="2026-03-07T09:54:02"/>
    <n v="5"/>
    <s v="Other"/>
    <s v="user30@example.com"/>
  </r>
  <r>
    <s v="EMP1013"/>
    <s v="SamWilson"/>
    <s v="Sam"/>
    <s v="Wilson"/>
    <s v="SamWilson"/>
    <x v="2"/>
    <s v="India"/>
    <n v="62158"/>
    <d v="2015-04-05T00:00:00"/>
    <n v="10"/>
    <n v="2015"/>
    <n v="4"/>
    <n v="1"/>
    <d v="2026-03-07T09:54:02"/>
    <n v="4"/>
    <s v="Unknown"/>
    <s v="user180@example.com"/>
  </r>
  <r>
    <s v="EMP1021"/>
    <s v="JaneSmith"/>
    <s v="Jane"/>
    <s v="Smith"/>
    <s v="JaneSmith"/>
    <x v="5"/>
    <s v="Unknown"/>
    <n v="98922"/>
    <d v="2015-05-31T00:00:00"/>
    <n v="10"/>
    <n v="2015"/>
    <n v="5"/>
    <n v="1"/>
    <d v="2026-03-07T09:54:02"/>
    <n v="4"/>
    <s v="Unknown"/>
    <s v="user77@example.com"/>
  </r>
  <r>
    <s v="EMP1035"/>
    <s v="AliceBrown"/>
    <s v="Alice"/>
    <s v="Brown"/>
    <s v="AliceBrown"/>
    <x v="2"/>
    <s v="UK"/>
    <n v="54463"/>
    <d v="2015-09-06T00:00:00"/>
    <n v="10"/>
    <n v="2015"/>
    <n v="9"/>
    <n v="1"/>
    <d v="2026-03-07T09:54:02"/>
    <n v="4"/>
    <s v="Male"/>
    <s v="Unknown"/>
  </r>
  <r>
    <s v="EMP1040"/>
    <s v="BobJohnson"/>
    <s v="Bob"/>
    <s v="Johnson"/>
    <s v="BobJohnson"/>
    <x v="3"/>
    <s v="UK"/>
    <n v="66281"/>
    <s v="Unknown"/>
    <s v="Unknown"/>
    <s v="Unknown"/>
    <s v="Unknown"/>
    <s v="Unknown"/>
    <d v="2026-03-07T09:54:02"/>
    <n v="4"/>
    <s v="Female"/>
    <s v="user89@example.com"/>
  </r>
  <r>
    <s v="EMP1047"/>
    <s v="ChrisLee"/>
    <s v="Chris"/>
    <s v="Lee"/>
    <s v="ChrisLee"/>
    <x v="5"/>
    <s v="India"/>
    <n v="58245"/>
    <d v="2015-11-29T00:00:00"/>
    <n v="10"/>
    <n v="2015"/>
    <n v="11"/>
    <n v="1"/>
    <d v="2026-03-07T09:54:02"/>
    <n v="4"/>
    <s v="Unknown"/>
    <s v="user43@example.com"/>
  </r>
  <r>
    <s v="EMP1065"/>
    <s v="SamWilson"/>
    <s v="Sam"/>
    <s v="Wilson"/>
    <s v="SamWilson"/>
    <x v="3"/>
    <s v="India"/>
    <n v="33468"/>
    <d v="2016-04-03T00:00:00"/>
    <n v="9"/>
    <n v="2016"/>
    <n v="4"/>
    <n v="1"/>
    <d v="2026-03-07T09:54:02"/>
    <n v="4"/>
    <s v="Male"/>
    <s v="user125@example.com"/>
  </r>
  <r>
    <s v="EMP1073"/>
    <s v="JohnDoe"/>
    <s v="John"/>
    <s v="Doe"/>
    <s v="JohnDoe"/>
    <x v="1"/>
    <s v="India"/>
    <n v="91101"/>
    <d v="2016-05-29T00:00:00"/>
    <n v="9"/>
    <n v="2016"/>
    <n v="5"/>
    <n v="1"/>
    <d v="2026-03-07T09:54:02"/>
    <n v="4"/>
    <s v="Female"/>
    <s v="user71@example.com"/>
  </r>
  <r>
    <s v="EMP1084"/>
    <s v="JohnDoe"/>
    <s v="John"/>
    <s v="Doe"/>
    <s v="JohnDoe"/>
    <x v="4"/>
    <s v="India"/>
    <n v="44682"/>
    <d v="2016-08-14T00:00:00"/>
    <n v="9"/>
    <n v="2016"/>
    <n v="8"/>
    <n v="1"/>
    <d v="2026-03-07T09:54:02"/>
    <n v="4"/>
    <s v="Female"/>
    <s v="user47@example.com"/>
  </r>
  <r>
    <s v="EMP1086"/>
    <s v="ChrisLee"/>
    <s v="Chris"/>
    <s v="Lee"/>
    <s v="ChrisLee"/>
    <x v="0"/>
    <s v="India"/>
    <n v="33483"/>
    <d v="2016-08-28T00:00:00"/>
    <n v="9"/>
    <n v="2016"/>
    <n v="8"/>
    <n v="1"/>
    <d v="2026-03-07T09:54:02"/>
    <n v="4"/>
    <s v="Male"/>
    <s v="user177@example.com"/>
  </r>
  <r>
    <s v="EMP1087"/>
    <s v="SamWilson"/>
    <s v="Sam"/>
    <s v="Wilson"/>
    <s v="SamWilson"/>
    <x v="5"/>
    <s v="Germany"/>
    <n v="55303"/>
    <d v="2016-09-04T00:00:00"/>
    <n v="9"/>
    <n v="2016"/>
    <n v="9"/>
    <n v="1"/>
    <d v="2026-03-07T09:54:02"/>
    <n v="4"/>
    <s v="Male"/>
    <s v="user149@example.com"/>
  </r>
  <r>
    <s v="EMP1093"/>
    <s v="AliceBrown"/>
    <s v="Alice"/>
    <s v="Brown"/>
    <s v="AliceBrown"/>
    <x v="2"/>
    <s v="USA"/>
    <n v="76238"/>
    <d v="2016-10-16T00:00:00"/>
    <n v="9"/>
    <n v="2016"/>
    <n v="10"/>
    <n v="1"/>
    <d v="2026-03-07T09:54:02"/>
    <n v="4"/>
    <s v="Male"/>
    <s v="user102@example.com"/>
  </r>
  <r>
    <s v="EMP1099"/>
    <s v="EveAdams"/>
    <s v="Eve"/>
    <s v="Adams"/>
    <s v="EveAdams"/>
    <x v="4"/>
    <s v="USA"/>
    <n v="70096"/>
    <d v="2016-11-27T00:00:00"/>
    <n v="9"/>
    <n v="2016"/>
    <n v="11"/>
    <n v="1"/>
    <d v="2026-03-07T09:54:02"/>
    <n v="4"/>
    <s v="Male"/>
    <s v="user76@example.com"/>
  </r>
  <r>
    <s v="EMP1114"/>
    <s v="EveAdams"/>
    <s v="Eve"/>
    <s v="Adams"/>
    <s v="EveAdams"/>
    <x v="4"/>
    <s v="UK"/>
    <n v="44627"/>
    <d v="2017-03-12T00:00:00"/>
    <n v="8"/>
    <n v="2017"/>
    <n v="3"/>
    <n v="1"/>
    <d v="2026-03-07T09:54:02"/>
    <n v="4"/>
    <s v="Unknown"/>
    <s v="user97@example.com"/>
  </r>
  <r>
    <s v="EMP1115"/>
    <s v="BobJohnson"/>
    <s v="Bob"/>
    <s v="Johnson"/>
    <s v="BobJohnson"/>
    <x v="5"/>
    <s v="Germany"/>
    <n v="92343"/>
    <d v="2017-03-19T00:00:00"/>
    <n v="8"/>
    <n v="2017"/>
    <n v="3"/>
    <n v="1"/>
    <d v="2026-03-07T09:54:02"/>
    <n v="4"/>
    <s v="Female"/>
    <s v="user149@example.com"/>
  </r>
  <r>
    <s v="EMP1136"/>
    <s v="JaneSmith"/>
    <s v="Jane"/>
    <s v="Smith"/>
    <s v="JaneSmith"/>
    <x v="3"/>
    <s v="India"/>
    <n v="60335"/>
    <d v="2017-08-13T00:00:00"/>
    <n v="8"/>
    <n v="2017"/>
    <n v="8"/>
    <n v="1"/>
    <d v="2026-03-07T09:54:02"/>
    <n v="4"/>
    <s v="Other"/>
    <s v="user59@example.com"/>
  </r>
  <r>
    <s v="EMP1138"/>
    <s v="ChrisLee"/>
    <s v="Chris"/>
    <s v="Lee"/>
    <s v="ChrisLee"/>
    <x v="4"/>
    <s v="Australia"/>
    <n v="84750"/>
    <d v="2017-08-27T00:00:00"/>
    <n v="8"/>
    <n v="2017"/>
    <n v="8"/>
    <n v="1"/>
    <d v="2026-03-07T09:54:02"/>
    <n v="4"/>
    <s v="Female"/>
    <s v="user3@example.com"/>
  </r>
  <r>
    <s v="EMP1140"/>
    <s v="ChrisLee"/>
    <s v="Chris"/>
    <s v="Lee"/>
    <s v="ChrisLee"/>
    <x v="1"/>
    <s v="USA"/>
    <n v="66281"/>
    <d v="2017-09-10T00:00:00"/>
    <n v="8"/>
    <n v="2017"/>
    <n v="9"/>
    <n v="1"/>
    <d v="2026-03-07T09:54:02"/>
    <n v="4"/>
    <s v="Other"/>
    <s v="Unknown"/>
  </r>
  <r>
    <s v="EMP1006"/>
    <s v="SamWilson"/>
    <s v="Sam"/>
    <s v="Wilson"/>
    <s v="SamWilson"/>
    <x v="1"/>
    <s v="Unknown"/>
    <n v="67721"/>
    <d v="2015-02-15T00:00:00"/>
    <n v="11"/>
    <n v="2015"/>
    <n v="2"/>
    <n v="1"/>
    <d v="2026-03-07T09:54:02"/>
    <n v="3"/>
    <s v="Male"/>
    <s v="user168@example.com"/>
  </r>
  <r>
    <s v="EMP1008"/>
    <s v="AliceBrown"/>
    <s v="Alice"/>
    <s v="Brown"/>
    <s v="AliceBrown"/>
    <x v="0"/>
    <s v="Germany"/>
    <n v="97881"/>
    <d v="2015-03-01T00:00:00"/>
    <n v="11"/>
    <n v="2015"/>
    <n v="3"/>
    <n v="1"/>
    <d v="2026-03-07T09:54:02"/>
    <n v="3"/>
    <s v="Female"/>
    <s v="user25@example.com"/>
  </r>
  <r>
    <s v="EMP1009"/>
    <s v="ChrisLee"/>
    <s v="Chris"/>
    <s v="Lee"/>
    <s v="ChrisLee"/>
    <x v="5"/>
    <s v="UK"/>
    <n v="91846"/>
    <d v="2015-03-08T00:00:00"/>
    <n v="10"/>
    <n v="2015"/>
    <n v="3"/>
    <n v="1"/>
    <d v="2026-03-07T09:54:02"/>
    <n v="3"/>
    <s v="Male"/>
    <s v="user153@example.com"/>
  </r>
  <r>
    <s v="EMP1015"/>
    <s v="Unknown"/>
    <s v="Unknown"/>
    <s v="Unknown"/>
    <s v="Unknown"/>
    <x v="0"/>
    <s v="India"/>
    <n v="92443"/>
    <d v="2015-04-19T00:00:00"/>
    <n v="10"/>
    <n v="2015"/>
    <n v="4"/>
    <n v="1"/>
    <d v="2026-03-07T09:54:02"/>
    <n v="3"/>
    <s v="Other"/>
    <s v="user3@example.com"/>
  </r>
  <r>
    <s v="EMP1016"/>
    <s v="BobJohnson"/>
    <s v="Bob"/>
    <s v="Johnson"/>
    <s v="BobJohnson"/>
    <x v="2"/>
    <s v="Germany"/>
    <n v="90271"/>
    <d v="2015-04-26T00:00:00"/>
    <n v="10"/>
    <n v="2015"/>
    <n v="4"/>
    <n v="1"/>
    <d v="2026-03-07T09:54:02"/>
    <n v="3"/>
    <s v="Unknown"/>
    <s v="user64@example.com"/>
  </r>
  <r>
    <s v="EMP1018"/>
    <s v="AliceBrown"/>
    <s v="Alice"/>
    <s v="Brown"/>
    <s v="AliceBrown"/>
    <x v="3"/>
    <s v="UK"/>
    <n v="73602"/>
    <d v="2015-05-10T00:00:00"/>
    <n v="10"/>
    <n v="2015"/>
    <n v="5"/>
    <n v="1"/>
    <d v="2026-03-07T09:54:02"/>
    <n v="3"/>
    <s v="Unknown"/>
    <s v="user96@example.com"/>
  </r>
  <r>
    <s v="EMP1023"/>
    <s v="AliceBrown"/>
    <s v="Alice"/>
    <s v="Brown"/>
    <s v="AliceBrown"/>
    <x v="4"/>
    <s v="UK"/>
    <n v="36515"/>
    <d v="2015-06-14T00:00:00"/>
    <n v="10"/>
    <n v="2015"/>
    <n v="6"/>
    <n v="1"/>
    <d v="2026-03-07T09:54:02"/>
    <n v="3"/>
    <s v="Male"/>
    <s v="user149@example.com"/>
  </r>
  <r>
    <s v="EMP1025"/>
    <s v="ChrisLee"/>
    <s v="Chris"/>
    <s v="Lee"/>
    <s v="ChrisLee"/>
    <x v="2"/>
    <s v="Unknown"/>
    <n v="52272"/>
    <d v="2015-06-28T00:00:00"/>
    <n v="10"/>
    <n v="2015"/>
    <n v="6"/>
    <n v="1"/>
    <d v="2026-03-07T09:54:02"/>
    <n v="3"/>
    <s v="Unknown"/>
    <s v="user41@example.com"/>
  </r>
  <r>
    <s v="EMP1027"/>
    <s v="AliceBrown"/>
    <s v="Alice"/>
    <s v="Brown"/>
    <s v="AliceBrown"/>
    <x v="0"/>
    <s v="UK"/>
    <n v="41448"/>
    <d v="2015-07-12T00:00:00"/>
    <n v="10"/>
    <n v="2015"/>
    <n v="7"/>
    <n v="1"/>
    <d v="2026-03-07T09:54:02"/>
    <n v="3"/>
    <s v="Other"/>
    <s v="user103@example.com"/>
  </r>
  <r>
    <s v="EMP1031"/>
    <s v="EveAdams"/>
    <s v="Eve"/>
    <s v="Adams"/>
    <s v="EveAdams"/>
    <x v="5"/>
    <s v="Germany"/>
    <n v="92299"/>
    <d v="2015-08-09T00:00:00"/>
    <n v="10"/>
    <n v="2015"/>
    <n v="8"/>
    <n v="1"/>
    <d v="2026-03-07T09:54:02"/>
    <n v="3"/>
    <s v="Male"/>
    <s v="user143@example.com"/>
  </r>
  <r>
    <s v="EMP1032"/>
    <s v="SamWilson"/>
    <s v="Sam"/>
    <s v="Wilson"/>
    <s v="SamWilson"/>
    <x v="5"/>
    <s v="Unknown"/>
    <n v="95586"/>
    <d v="2015-08-16T00:00:00"/>
    <n v="10"/>
    <n v="2015"/>
    <n v="8"/>
    <n v="1"/>
    <d v="2026-03-07T09:54:02"/>
    <n v="3"/>
    <s v="Other"/>
    <s v="user190@example.com"/>
  </r>
  <r>
    <s v="EMP1033"/>
    <s v="ChrisLee"/>
    <s v="Chris"/>
    <s v="Lee"/>
    <s v="ChrisLee"/>
    <x v="2"/>
    <s v="USA"/>
    <n v="95367"/>
    <d v="2015-08-23T00:00:00"/>
    <n v="10"/>
    <n v="2015"/>
    <n v="8"/>
    <n v="1"/>
    <d v="2026-03-07T09:54:02"/>
    <n v="3"/>
    <s v="Male"/>
    <s v="user136@example.com"/>
  </r>
  <r>
    <s v="EMP1034"/>
    <s v="JohnDoe"/>
    <s v="John"/>
    <s v="Doe"/>
    <s v="JohnDoe"/>
    <x v="1"/>
    <s v="Australia"/>
    <n v="79549"/>
    <d v="2015-08-30T00:00:00"/>
    <n v="10"/>
    <n v="2015"/>
    <n v="8"/>
    <n v="1"/>
    <d v="2026-03-07T09:54:02"/>
    <n v="3"/>
    <s v="Unknown"/>
    <s v="user198@example.com"/>
  </r>
  <r>
    <s v="EMP1036"/>
    <s v="AliceBrown"/>
    <s v="Alice"/>
    <s v="Brown"/>
    <s v="AliceBrown"/>
    <x v="0"/>
    <s v="USA"/>
    <n v="89781"/>
    <d v="2015-09-13T00:00:00"/>
    <n v="10"/>
    <n v="2015"/>
    <n v="9"/>
    <n v="1"/>
    <d v="2026-03-07T09:54:02"/>
    <n v="3"/>
    <s v="Female"/>
    <s v="user31@example.com"/>
  </r>
  <r>
    <s v="EMP1037"/>
    <s v="AliceBrown"/>
    <s v="Alice"/>
    <s v="Brown"/>
    <s v="AliceBrown"/>
    <x v="5"/>
    <s v="Unknown"/>
    <n v="64796"/>
    <d v="2015-09-20T00:00:00"/>
    <n v="10"/>
    <n v="2015"/>
    <n v="9"/>
    <n v="1"/>
    <d v="2026-03-07T09:54:02"/>
    <n v="3"/>
    <s v="Other"/>
    <s v="user98@example.com"/>
  </r>
  <r>
    <s v="EMP1039"/>
    <s v="ChrisLee"/>
    <s v="Chris"/>
    <s v="Lee"/>
    <s v="ChrisLee"/>
    <x v="5"/>
    <s v="UK"/>
    <n v="48224"/>
    <d v="2015-10-04T00:00:00"/>
    <n v="10"/>
    <n v="2015"/>
    <n v="10"/>
    <n v="1"/>
    <d v="2026-03-07T09:54:02"/>
    <n v="3"/>
    <s v="Unknown"/>
    <s v="user42@example.com"/>
  </r>
  <r>
    <s v="EMP1041"/>
    <s v="AliceBrown"/>
    <s v="Alice"/>
    <s v="Brown"/>
    <s v="AliceBrown"/>
    <x v="0"/>
    <s v="Germany"/>
    <n v="33956"/>
    <d v="2015-10-18T00:00:00"/>
    <n v="10"/>
    <n v="2015"/>
    <n v="10"/>
    <n v="1"/>
    <d v="2026-03-07T09:54:02"/>
    <n v="3"/>
    <s v="Unknown"/>
    <s v="user47@example.com"/>
  </r>
  <r>
    <s v="EMP1043"/>
    <s v="AliceBrown"/>
    <s v="Alice"/>
    <s v="Brown"/>
    <s v="AliceBrown"/>
    <x v="4"/>
    <s v="Australia"/>
    <n v="35326"/>
    <d v="2015-11-01T00:00:00"/>
    <n v="10"/>
    <n v="2015"/>
    <n v="11"/>
    <n v="1"/>
    <d v="2026-03-07T09:54:02"/>
    <n v="3"/>
    <s v="Female"/>
    <s v="user57@example.com"/>
  </r>
  <r>
    <s v="EMP1045"/>
    <s v="Unknown"/>
    <s v="Unknown"/>
    <s v="Unknown"/>
    <s v="Unknown"/>
    <x v="5"/>
    <s v="Unknown"/>
    <n v="58962"/>
    <d v="2015-11-15T00:00:00"/>
    <n v="10"/>
    <n v="2015"/>
    <n v="11"/>
    <n v="1"/>
    <d v="2026-03-07T09:54:02"/>
    <n v="3"/>
    <s v="Other"/>
    <s v="user106@example.com"/>
  </r>
  <r>
    <s v="EMP1046"/>
    <s v="ChrisLee"/>
    <s v="Chris"/>
    <s v="Lee"/>
    <s v="ChrisLee"/>
    <x v="0"/>
    <s v="Germany"/>
    <n v="92701"/>
    <d v="2015-11-22T00:00:00"/>
    <n v="10"/>
    <n v="2015"/>
    <n v="11"/>
    <n v="1"/>
    <d v="2026-03-07T09:54:02"/>
    <n v="3"/>
    <s v="Other"/>
    <s v="user199@example.com"/>
  </r>
  <r>
    <s v="EMP1053"/>
    <s v="EveAdams"/>
    <s v="Eve"/>
    <s v="Adams"/>
    <s v="EveAdams"/>
    <x v="3"/>
    <s v="UK"/>
    <n v="33352"/>
    <d v="2016-01-10T00:00:00"/>
    <n v="10"/>
    <n v="2016"/>
    <n v="1"/>
    <n v="1"/>
    <d v="2026-03-07T09:54:02"/>
    <n v="3"/>
    <s v="Female"/>
    <s v="user200@example.com"/>
  </r>
  <r>
    <s v="EMP1057"/>
    <s v="EveAdams"/>
    <s v="Eve"/>
    <s v="Adams"/>
    <s v="EveAdams"/>
    <x v="2"/>
    <s v="India"/>
    <n v="96949"/>
    <d v="2016-02-07T00:00:00"/>
    <n v="10"/>
    <n v="2016"/>
    <n v="2"/>
    <n v="1"/>
    <d v="2026-03-07T09:54:02"/>
    <n v="3"/>
    <s v="Unknown"/>
    <s v="user103@example.com"/>
  </r>
  <r>
    <s v="EMP1066"/>
    <s v="SamWilson"/>
    <s v="Sam"/>
    <s v="Wilson"/>
    <s v="SamWilson"/>
    <x v="2"/>
    <s v="Australia"/>
    <n v="96365"/>
    <d v="2016-04-10T00:00:00"/>
    <n v="9"/>
    <n v="2016"/>
    <n v="4"/>
    <n v="1"/>
    <d v="2026-03-07T09:54:02"/>
    <n v="3"/>
    <s v="Other"/>
    <s v="user90@example.com"/>
  </r>
  <r>
    <s v="EMP1067"/>
    <s v="AliceBrown"/>
    <s v="Alice"/>
    <s v="Brown"/>
    <s v="AliceBrown"/>
    <x v="1"/>
    <s v="India"/>
    <n v="61942"/>
    <d v="2016-04-17T00:00:00"/>
    <n v="9"/>
    <n v="2016"/>
    <n v="4"/>
    <n v="1"/>
    <d v="2026-03-07T09:54:02"/>
    <n v="3"/>
    <s v="Female"/>
    <s v="user192@example.com"/>
  </r>
  <r>
    <s v="EMP1071"/>
    <s v="EveAdams"/>
    <s v="Eve"/>
    <s v="Adams"/>
    <s v="EveAdams"/>
    <x v="4"/>
    <s v="USA"/>
    <n v="85065"/>
    <d v="2016-05-15T00:00:00"/>
    <n v="9"/>
    <n v="2016"/>
    <n v="5"/>
    <n v="1"/>
    <d v="2026-03-07T09:54:02"/>
    <n v="3"/>
    <s v="Unknown"/>
    <s v="user142@example.com"/>
  </r>
  <r>
    <s v="EMP1072"/>
    <s v="BobJohnson"/>
    <s v="Bob"/>
    <s v="Johnson"/>
    <s v="BobJohnson"/>
    <x v="4"/>
    <s v="India"/>
    <n v="56512"/>
    <d v="2016-05-22T00:00:00"/>
    <n v="9"/>
    <n v="2016"/>
    <n v="5"/>
    <n v="1"/>
    <d v="2026-03-07T09:54:02"/>
    <n v="3"/>
    <s v="Other"/>
    <s v="user153@example.com"/>
  </r>
  <r>
    <s v="EMP1074"/>
    <s v="SamWilson"/>
    <s v="Sam"/>
    <s v="Wilson"/>
    <s v="SamWilson"/>
    <x v="2"/>
    <s v="Germany"/>
    <n v="41243"/>
    <d v="2016-06-05T00:00:00"/>
    <n v="9"/>
    <n v="2016"/>
    <n v="6"/>
    <n v="1"/>
    <d v="2026-03-07T09:54:02"/>
    <n v="3"/>
    <s v="Unknown"/>
    <s v="user143@example.com"/>
  </r>
  <r>
    <s v="EMP1080"/>
    <s v="EveAdams"/>
    <s v="Eve"/>
    <s v="Adams"/>
    <s v="EveAdams"/>
    <x v="4"/>
    <s v="India"/>
    <n v="66281"/>
    <s v="Unknown"/>
    <s v="Unknown"/>
    <s v="Unknown"/>
    <s v="Unknown"/>
    <s v="Unknown"/>
    <d v="2026-03-07T09:54:02"/>
    <n v="3"/>
    <s v="Unknown"/>
    <s v="user135@example.com"/>
  </r>
  <r>
    <s v="EMP1081"/>
    <s v="JaneSmith"/>
    <s v="Jane"/>
    <s v="Smith"/>
    <s v="JaneSmith"/>
    <x v="1"/>
    <s v="USA"/>
    <n v="95621"/>
    <d v="2016-07-24T00:00:00"/>
    <n v="9"/>
    <n v="2016"/>
    <n v="7"/>
    <n v="1"/>
    <d v="2026-03-07T09:54:02"/>
    <n v="3"/>
    <s v="Female"/>
    <s v="user156@example.com"/>
  </r>
  <r>
    <s v="EMP1083"/>
    <s v="SamWilson"/>
    <s v="Sam"/>
    <s v="Wilson"/>
    <s v="SamWilson"/>
    <x v="1"/>
    <s v="India"/>
    <n v="99621"/>
    <d v="2016-08-07T00:00:00"/>
    <n v="9"/>
    <n v="2016"/>
    <n v="8"/>
    <n v="1"/>
    <d v="2026-03-07T09:54:02"/>
    <n v="3"/>
    <s v="Other"/>
    <s v="user145@example.com"/>
  </r>
  <r>
    <s v="EMP1088"/>
    <s v="ChrisLee"/>
    <s v="Chris"/>
    <s v="Lee"/>
    <s v="ChrisLee"/>
    <x v="0"/>
    <s v="Unknown"/>
    <n v="63434"/>
    <d v="2016-09-11T00:00:00"/>
    <n v="9"/>
    <n v="2016"/>
    <n v="9"/>
    <n v="1"/>
    <d v="2026-03-07T09:54:02"/>
    <n v="3"/>
    <s v="Unknown"/>
    <s v="user48@example.com"/>
  </r>
  <r>
    <s v="EMP1089"/>
    <s v="JaneSmith"/>
    <s v="Jane"/>
    <s v="Smith"/>
    <s v="JaneSmith"/>
    <x v="2"/>
    <s v="Australia"/>
    <n v="38830"/>
    <d v="2016-09-18T00:00:00"/>
    <n v="9"/>
    <n v="2016"/>
    <n v="9"/>
    <n v="1"/>
    <d v="2026-03-07T09:54:02"/>
    <n v="3"/>
    <s v="Other"/>
    <s v="user149@example.com"/>
  </r>
  <r>
    <s v="EMP1090"/>
    <s v="Unknown"/>
    <s v="Unknown"/>
    <s v="Unknown"/>
    <s v="Unknown"/>
    <x v="4"/>
    <s v="UK"/>
    <n v="50741"/>
    <d v="2016-09-25T00:00:00"/>
    <n v="9"/>
    <n v="2016"/>
    <n v="9"/>
    <n v="1"/>
    <d v="2026-03-07T09:54:02"/>
    <n v="3"/>
    <s v="Unknown"/>
    <s v="user65@example.com"/>
  </r>
  <r>
    <s v="EMP1094"/>
    <s v="BobJohnson"/>
    <s v="Bob"/>
    <s v="Johnson"/>
    <s v="BobJohnson"/>
    <x v="0"/>
    <s v="India"/>
    <n v="33264"/>
    <d v="2016-10-23T00:00:00"/>
    <n v="9"/>
    <n v="2016"/>
    <n v="10"/>
    <n v="1"/>
    <d v="2026-03-07T09:54:02"/>
    <n v="3"/>
    <s v="Female"/>
    <s v="user148@example.com"/>
  </r>
  <r>
    <s v="EMP1095"/>
    <s v="AliceBrown"/>
    <s v="Alice"/>
    <s v="Brown"/>
    <s v="AliceBrown"/>
    <x v="3"/>
    <s v="Australia"/>
    <n v="96101"/>
    <d v="2016-10-30T00:00:00"/>
    <n v="9"/>
    <n v="2016"/>
    <n v="10"/>
    <n v="1"/>
    <d v="2026-03-07T09:54:02"/>
    <n v="3"/>
    <s v="Other"/>
    <s v="user155@example.com"/>
  </r>
  <r>
    <s v="EMP1096"/>
    <s v="JaneSmith"/>
    <s v="Jane"/>
    <s v="Smith"/>
    <s v="JaneSmith"/>
    <x v="3"/>
    <s v="USA"/>
    <n v="72939"/>
    <d v="2016-11-06T00:00:00"/>
    <n v="9"/>
    <n v="2016"/>
    <n v="11"/>
    <n v="1"/>
    <d v="2026-03-07T09:54:02"/>
    <n v="3"/>
    <s v="Unknown"/>
    <s v="user191@example.com"/>
  </r>
  <r>
    <s v="EMP1098"/>
    <s v="BobJohnson"/>
    <s v="Bob"/>
    <s v="Johnson"/>
    <s v="BobJohnson"/>
    <x v="0"/>
    <s v="Australia"/>
    <n v="70470"/>
    <d v="2016-11-20T00:00:00"/>
    <n v="9"/>
    <n v="2016"/>
    <n v="11"/>
    <n v="1"/>
    <d v="2026-03-07T09:54:02"/>
    <n v="3"/>
    <s v="Male"/>
    <s v="user62@example.com"/>
  </r>
  <r>
    <s v="EMP1101"/>
    <s v="BobJohnson"/>
    <s v="Bob"/>
    <s v="Johnson"/>
    <s v="BobJohnson"/>
    <x v="0"/>
    <s v="Germany"/>
    <n v="66503"/>
    <d v="2016-12-11T00:00:00"/>
    <n v="9"/>
    <n v="2016"/>
    <n v="12"/>
    <n v="1"/>
    <d v="2026-03-07T09:54:02"/>
    <n v="3"/>
    <s v="Male"/>
    <s v="user200@example.com"/>
  </r>
  <r>
    <s v="EMP1102"/>
    <s v="AliceBrown"/>
    <s v="Alice"/>
    <s v="Brown"/>
    <s v="AliceBrown"/>
    <x v="5"/>
    <s v="Germany"/>
    <n v="42096"/>
    <d v="2016-12-18T00:00:00"/>
    <n v="9"/>
    <n v="2016"/>
    <n v="12"/>
    <n v="1"/>
    <d v="2026-03-07T09:54:02"/>
    <n v="3"/>
    <s v="Female"/>
    <s v="user54@example.com"/>
  </r>
  <r>
    <s v="EMP1105"/>
    <s v="Unknown"/>
    <s v="Unknown"/>
    <s v="Unknown"/>
    <s v="Unknown"/>
    <x v="5"/>
    <s v="UK"/>
    <n v="87963"/>
    <d v="2017-01-08T00:00:00"/>
    <n v="9"/>
    <n v="2017"/>
    <n v="1"/>
    <n v="1"/>
    <d v="2026-03-07T09:54:02"/>
    <n v="3"/>
    <s v="Other"/>
    <s v="Unknown"/>
  </r>
  <r>
    <s v="EMP1106"/>
    <s v="EveAdams"/>
    <s v="Eve"/>
    <s v="Adams"/>
    <s v="EveAdams"/>
    <x v="0"/>
    <s v="Unknown"/>
    <n v="48325"/>
    <d v="2017-01-15T00:00:00"/>
    <n v="9"/>
    <n v="2017"/>
    <n v="1"/>
    <n v="1"/>
    <d v="2026-03-07T09:54:02"/>
    <n v="3"/>
    <s v="Male"/>
    <s v="user189@example.com"/>
  </r>
  <r>
    <s v="EMP1112"/>
    <s v="EveAdams"/>
    <s v="Eve"/>
    <s v="Adams"/>
    <s v="EveAdams"/>
    <x v="3"/>
    <s v="India"/>
    <n v="78330"/>
    <d v="2017-02-26T00:00:00"/>
    <n v="9"/>
    <n v="2017"/>
    <n v="2"/>
    <n v="1"/>
    <d v="2026-03-07T09:54:02"/>
    <n v="3"/>
    <s v="Other"/>
    <s v="user76@example.com"/>
  </r>
  <r>
    <s v="EMP1118"/>
    <s v="ChrisLee"/>
    <s v="Chris"/>
    <s v="Lee"/>
    <s v="ChrisLee"/>
    <x v="1"/>
    <s v="India"/>
    <n v="95032"/>
    <d v="2017-04-09T00:00:00"/>
    <n v="8"/>
    <n v="2017"/>
    <n v="4"/>
    <n v="1"/>
    <d v="2026-03-07T09:54:02"/>
    <n v="3"/>
    <s v="Unknown"/>
    <s v="user23@example.com"/>
  </r>
  <r>
    <s v="EMP1119"/>
    <s v="EveAdams"/>
    <s v="Eve"/>
    <s v="Adams"/>
    <s v="EveAdams"/>
    <x v="1"/>
    <s v="Australia"/>
    <n v="44358"/>
    <d v="2017-04-16T00:00:00"/>
    <n v="8"/>
    <n v="2017"/>
    <n v="4"/>
    <n v="1"/>
    <d v="2026-03-07T09:54:02"/>
    <n v="3"/>
    <s v="Female"/>
    <s v="user200@example.com"/>
  </r>
  <r>
    <s v="EMP1122"/>
    <s v="BobJohnson"/>
    <s v="Bob"/>
    <s v="Johnson"/>
    <s v="BobJohnson"/>
    <x v="1"/>
    <s v="Germany"/>
    <n v="52036"/>
    <d v="2017-05-07T00:00:00"/>
    <n v="8"/>
    <n v="2017"/>
    <n v="5"/>
    <n v="1"/>
    <d v="2026-03-07T09:54:02"/>
    <n v="3"/>
    <s v="Male"/>
    <s v="user171@example.com"/>
  </r>
  <r>
    <s v="EMP1126"/>
    <s v="BobJohnson"/>
    <s v="Bob"/>
    <s v="Johnson"/>
    <s v="BobJohnson"/>
    <x v="2"/>
    <s v="Germany"/>
    <n v="71494"/>
    <d v="2017-06-04T00:00:00"/>
    <n v="8"/>
    <n v="2017"/>
    <n v="6"/>
    <n v="1"/>
    <d v="2026-03-07T09:54:02"/>
    <n v="3"/>
    <s v="Male"/>
    <s v="user100@example.com"/>
  </r>
  <r>
    <s v="EMP1129"/>
    <s v="BobJohnson"/>
    <s v="Bob"/>
    <s v="Johnson"/>
    <s v="BobJohnson"/>
    <x v="2"/>
    <s v="UK"/>
    <n v="62994"/>
    <d v="2017-06-25T00:00:00"/>
    <n v="8"/>
    <n v="2017"/>
    <n v="6"/>
    <n v="1"/>
    <d v="2026-03-07T09:54:02"/>
    <n v="3"/>
    <s v="Unknown"/>
    <s v="user175@example.com"/>
  </r>
  <r>
    <s v="EMP1130"/>
    <s v="AliceBrown"/>
    <s v="Alice"/>
    <s v="Brown"/>
    <s v="AliceBrown"/>
    <x v="1"/>
    <s v="India"/>
    <n v="48289"/>
    <s v="Unknown"/>
    <s v="Unknown"/>
    <s v="Unknown"/>
    <s v="Unknown"/>
    <s v="Unknown"/>
    <d v="2026-03-07T09:54:02"/>
    <n v="3"/>
    <s v="Male"/>
    <s v="user25@example.com"/>
  </r>
  <r>
    <s v="EMP1131"/>
    <s v="SamWilson"/>
    <s v="Sam"/>
    <s v="Wilson"/>
    <s v="SamWilson"/>
    <x v="4"/>
    <s v="Germany"/>
    <n v="34402"/>
    <d v="2017-07-09T00:00:00"/>
    <n v="8"/>
    <n v="2017"/>
    <n v="7"/>
    <n v="1"/>
    <d v="2026-03-07T09:54:02"/>
    <n v="3"/>
    <s v="Other"/>
    <s v="user42@example.com"/>
  </r>
  <r>
    <s v="EMP1132"/>
    <s v="EveAdams"/>
    <s v="Eve"/>
    <s v="Adams"/>
    <s v="EveAdams"/>
    <x v="5"/>
    <s v="USA"/>
    <n v="38678"/>
    <d v="2017-07-16T00:00:00"/>
    <n v="8"/>
    <n v="2017"/>
    <n v="7"/>
    <n v="1"/>
    <d v="2026-03-07T09:54:02"/>
    <n v="3"/>
    <s v="Other"/>
    <s v="user188@example.com"/>
  </r>
  <r>
    <s v="EMP1133"/>
    <s v="ChrisLee"/>
    <s v="Chris"/>
    <s v="Lee"/>
    <s v="ChrisLee"/>
    <x v="5"/>
    <s v="Germany"/>
    <n v="45758"/>
    <d v="2017-07-23T00:00:00"/>
    <n v="8"/>
    <n v="2017"/>
    <n v="7"/>
    <n v="1"/>
    <d v="2026-03-07T09:54:02"/>
    <n v="3"/>
    <s v="Unknown"/>
    <s v="user44@example.com"/>
  </r>
  <r>
    <s v="EMP1135"/>
    <s v="Unknown"/>
    <s v="Unknown"/>
    <s v="Unknown"/>
    <s v="Unknown"/>
    <x v="0"/>
    <s v="UK"/>
    <n v="39280"/>
    <d v="2017-08-06T00:00:00"/>
    <n v="8"/>
    <n v="2017"/>
    <n v="8"/>
    <n v="1"/>
    <d v="2026-03-07T09:54:02"/>
    <n v="3"/>
    <s v="Female"/>
    <s v="user198@example.com"/>
  </r>
  <r>
    <s v="EMP1137"/>
    <s v="ChrisLee"/>
    <s v="Chris"/>
    <s v="Lee"/>
    <s v="ChrisLee"/>
    <x v="5"/>
    <s v="Germany"/>
    <n v="84968"/>
    <d v="2017-08-20T00:00:00"/>
    <n v="8"/>
    <n v="2017"/>
    <n v="8"/>
    <n v="1"/>
    <d v="2026-03-07T09:54:02"/>
    <n v="3"/>
    <s v="Unknown"/>
    <s v="user165@example.com"/>
  </r>
  <r>
    <s v="EMP1142"/>
    <s v="AliceBrown"/>
    <s v="Alice"/>
    <s v="Brown"/>
    <s v="AliceBrown"/>
    <x v="4"/>
    <s v="Unknown"/>
    <n v="86775"/>
    <d v="2017-09-24T00:00:00"/>
    <n v="8"/>
    <n v="2017"/>
    <n v="9"/>
    <n v="1"/>
    <d v="2026-03-07T09:54:02"/>
    <n v="3"/>
    <s v="Other"/>
    <s v="user190@example.com"/>
  </r>
  <r>
    <s v="EMP1143"/>
    <s v="ChrisLee"/>
    <s v="Chris"/>
    <s v="Lee"/>
    <s v="ChrisLee"/>
    <x v="1"/>
    <s v="UK"/>
    <n v="91620"/>
    <d v="2017-10-01T00:00:00"/>
    <n v="8"/>
    <n v="2017"/>
    <n v="10"/>
    <n v="1"/>
    <d v="2026-03-07T09:54:02"/>
    <n v="3"/>
    <s v="Unknown"/>
    <s v="user114@example.com"/>
  </r>
  <r>
    <s v="EMP1000"/>
    <s v="Unknown"/>
    <s v="Unknown"/>
    <s v="Unknown"/>
    <s v="Unknown"/>
    <x v="3"/>
    <s v="Unknown"/>
    <n v="66281"/>
    <s v="Unknown"/>
    <s v="Unknown"/>
    <s v="Unknown"/>
    <s v="Unknown"/>
    <s v="Unknown"/>
    <d v="2026-03-07T09:54:02"/>
    <n v="2"/>
    <s v="Unknown"/>
    <s v="Unknown"/>
  </r>
  <r>
    <s v="EMP1002"/>
    <s v="AliceBrown"/>
    <s v="Alice"/>
    <s v="Brown"/>
    <s v="AliceBrown"/>
    <x v="3"/>
    <s v="Germany"/>
    <n v="63184"/>
    <d v="2015-01-18T00:00:00"/>
    <n v="11"/>
    <n v="2015"/>
    <n v="1"/>
    <n v="1"/>
    <d v="2026-03-07T09:54:02"/>
    <n v="2"/>
    <s v="Unknown"/>
    <s v="user176@example.com"/>
  </r>
  <r>
    <s v="EMP1005"/>
    <s v="AliceBrown"/>
    <s v="Alice"/>
    <s v="Brown"/>
    <s v="AliceBrown"/>
    <x v="0"/>
    <s v="India"/>
    <n v="78421"/>
    <d v="2015-02-08T00:00:00"/>
    <n v="11"/>
    <n v="2015"/>
    <n v="2"/>
    <n v="1"/>
    <d v="2026-03-07T09:54:02"/>
    <n v="2"/>
    <s v="Female"/>
    <s v="user24@example.com"/>
  </r>
  <r>
    <s v="EMP1007"/>
    <s v="ChrisLee"/>
    <s v="Chris"/>
    <s v="Lee"/>
    <s v="ChrisLee"/>
    <x v="4"/>
    <s v="Unknown"/>
    <n v="35364"/>
    <d v="2015-02-22T00:00:00"/>
    <n v="11"/>
    <n v="2015"/>
    <n v="2"/>
    <n v="1"/>
    <d v="2026-03-07T09:54:02"/>
    <n v="2"/>
    <s v="Other"/>
    <s v="user26@example.com"/>
  </r>
  <r>
    <s v="EMP1014"/>
    <s v="JaneSmith"/>
    <s v="Jane"/>
    <s v="Smith"/>
    <s v="JaneSmith"/>
    <x v="5"/>
    <s v="Unknown"/>
    <n v="59894"/>
    <d v="2015-04-12T00:00:00"/>
    <n v="10"/>
    <n v="2015"/>
    <n v="4"/>
    <n v="1"/>
    <d v="2026-03-07T09:54:02"/>
    <n v="2"/>
    <s v="Male"/>
    <s v="user184@example.com"/>
  </r>
  <r>
    <s v="EMP1020"/>
    <s v="JaneSmith"/>
    <s v="Jane"/>
    <s v="Smith"/>
    <s v="JaneSmith"/>
    <x v="5"/>
    <s v="USA"/>
    <n v="66281"/>
    <d v="2015-05-24T00:00:00"/>
    <n v="10"/>
    <n v="2015"/>
    <n v="5"/>
    <n v="1"/>
    <d v="2026-03-07T09:54:02"/>
    <n v="2"/>
    <s v="Other"/>
    <s v="user200@example.com"/>
  </r>
  <r>
    <s v="EMP1026"/>
    <s v="EveAdams"/>
    <s v="Eve"/>
    <s v="Adams"/>
    <s v="EveAdams"/>
    <x v="1"/>
    <s v="Germany"/>
    <n v="76518"/>
    <d v="2015-07-05T00:00:00"/>
    <n v="10"/>
    <n v="2015"/>
    <n v="7"/>
    <n v="1"/>
    <d v="2026-03-07T09:54:02"/>
    <n v="2"/>
    <s v="Female"/>
    <s v="user68@example.com"/>
  </r>
  <r>
    <s v="EMP1028"/>
    <s v="JohnDoe"/>
    <s v="John"/>
    <s v="Doe"/>
    <s v="JohnDoe"/>
    <x v="5"/>
    <s v="UK"/>
    <n v="49282"/>
    <d v="2015-07-19T00:00:00"/>
    <n v="10"/>
    <n v="2015"/>
    <n v="7"/>
    <n v="1"/>
    <d v="2026-03-07T09:54:02"/>
    <n v="2"/>
    <s v="Female"/>
    <s v="user135@example.com"/>
  </r>
  <r>
    <s v="EMP1048"/>
    <s v="JohnDoe"/>
    <s v="John"/>
    <s v="Doe"/>
    <s v="JohnDoe"/>
    <x v="3"/>
    <s v="Unknown"/>
    <n v="66513"/>
    <d v="2015-12-06T00:00:00"/>
    <n v="10"/>
    <n v="2015"/>
    <n v="12"/>
    <n v="1"/>
    <d v="2026-03-07T09:54:02"/>
    <n v="2"/>
    <s v="Other"/>
    <s v="user24@example.com"/>
  </r>
  <r>
    <s v="EMP1050"/>
    <s v="ChrisLee"/>
    <s v="Chris"/>
    <s v="Lee"/>
    <s v="ChrisLee"/>
    <x v="2"/>
    <s v="Unknown"/>
    <n v="30686"/>
    <s v="Unknown"/>
    <s v="Unknown"/>
    <s v="Unknown"/>
    <s v="Unknown"/>
    <s v="Unknown"/>
    <d v="2026-03-07T09:54:02"/>
    <n v="2"/>
    <s v="Female"/>
    <s v="user95@example.com"/>
  </r>
  <r>
    <s v="EMP1061"/>
    <s v="EveAdams"/>
    <s v="Eve"/>
    <s v="Adams"/>
    <s v="EveAdams"/>
    <x v="2"/>
    <s v="Australia"/>
    <n v="31499"/>
    <d v="2016-03-06T00:00:00"/>
    <n v="10"/>
    <n v="2016"/>
    <n v="3"/>
    <n v="1"/>
    <d v="2026-03-07T09:54:02"/>
    <n v="2"/>
    <s v="Unknown"/>
    <s v="user31@example.com"/>
  </r>
  <r>
    <s v="EMP1063"/>
    <s v="EveAdams"/>
    <s v="Eve"/>
    <s v="Adams"/>
    <s v="EveAdams"/>
    <x v="5"/>
    <s v="USA"/>
    <n v="36541"/>
    <d v="2016-03-20T00:00:00"/>
    <n v="9"/>
    <n v="2016"/>
    <n v="3"/>
    <n v="1"/>
    <d v="2026-03-07T09:54:02"/>
    <n v="2"/>
    <s v="Other"/>
    <s v="user97@example.com"/>
  </r>
  <r>
    <s v="EMP1068"/>
    <s v="SamWilson"/>
    <s v="Sam"/>
    <s v="Wilson"/>
    <s v="SamWilson"/>
    <x v="3"/>
    <s v="UK"/>
    <n v="41467"/>
    <d v="2016-04-24T00:00:00"/>
    <n v="9"/>
    <n v="2016"/>
    <n v="4"/>
    <n v="1"/>
    <d v="2026-03-07T09:54:02"/>
    <n v="2"/>
    <s v="Unknown"/>
    <s v="user77@example.com"/>
  </r>
  <r>
    <s v="EMP1078"/>
    <s v="SamWilson"/>
    <s v="Sam"/>
    <s v="Wilson"/>
    <s v="SamWilson"/>
    <x v="2"/>
    <s v="UK"/>
    <n v="78245"/>
    <d v="2016-07-03T00:00:00"/>
    <n v="9"/>
    <n v="2016"/>
    <n v="7"/>
    <n v="1"/>
    <d v="2026-03-07T09:54:02"/>
    <n v="2"/>
    <s v="Unknown"/>
    <s v="user46@example.com"/>
  </r>
  <r>
    <s v="EMP1079"/>
    <s v="ChrisLee"/>
    <s v="Chris"/>
    <s v="Lee"/>
    <s v="ChrisLee"/>
    <x v="1"/>
    <s v="USA"/>
    <n v="66079"/>
    <d v="2016-07-10T00:00:00"/>
    <n v="9"/>
    <n v="2016"/>
    <n v="7"/>
    <n v="1"/>
    <d v="2026-03-07T09:54:02"/>
    <n v="2"/>
    <s v="Other"/>
    <s v="user55@example.com"/>
  </r>
  <r>
    <s v="EMP1100"/>
    <s v="BobJohnson"/>
    <s v="Bob"/>
    <s v="Johnson"/>
    <s v="BobJohnson"/>
    <x v="4"/>
    <s v="Unknown"/>
    <n v="66281"/>
    <d v="2016-12-04T00:00:00"/>
    <n v="9"/>
    <n v="2016"/>
    <n v="12"/>
    <n v="1"/>
    <d v="2026-03-07T09:54:02"/>
    <n v="2"/>
    <s v="Other"/>
    <s v="user40@example.com"/>
  </r>
  <r>
    <s v="EMP1107"/>
    <s v="SamWilson"/>
    <s v="Sam"/>
    <s v="Wilson"/>
    <s v="SamWilson"/>
    <x v="4"/>
    <s v="Australia"/>
    <n v="86412"/>
    <d v="2017-01-22T00:00:00"/>
    <n v="9"/>
    <n v="2017"/>
    <n v="1"/>
    <n v="1"/>
    <d v="2026-03-07T09:54:02"/>
    <n v="2"/>
    <s v="Female"/>
    <s v="user128@example.com"/>
  </r>
  <r>
    <s v="EMP1110"/>
    <s v="ChrisLee"/>
    <s v="Chris"/>
    <s v="Lee"/>
    <s v="ChrisLee"/>
    <x v="1"/>
    <s v="India"/>
    <n v="31293"/>
    <s v="Unknown"/>
    <s v="Unknown"/>
    <s v="Unknown"/>
    <s v="Unknown"/>
    <s v="Unknown"/>
    <d v="2026-03-07T09:54:02"/>
    <n v="2"/>
    <s v="Female"/>
    <s v="user44@example.com"/>
  </r>
  <r>
    <s v="EMP1121"/>
    <s v="ChrisLee"/>
    <s v="Chris"/>
    <s v="Lee"/>
    <s v="ChrisLee"/>
    <x v="1"/>
    <s v="USA"/>
    <n v="45676"/>
    <d v="2017-04-30T00:00:00"/>
    <n v="8"/>
    <n v="2017"/>
    <n v="4"/>
    <n v="1"/>
    <d v="2026-03-07T09:54:02"/>
    <n v="2"/>
    <s v="Unknown"/>
    <s v="user132@example.com"/>
  </r>
  <r>
    <s v="EMP1127"/>
    <s v="JohnDoe"/>
    <s v="John"/>
    <s v="Doe"/>
    <s v="JohnDoe"/>
    <x v="3"/>
    <s v="USA"/>
    <n v="91953"/>
    <d v="2017-06-11T00:00:00"/>
    <n v="8"/>
    <n v="2017"/>
    <n v="6"/>
    <n v="1"/>
    <d v="2026-03-07T09:54:02"/>
    <n v="2"/>
    <s v="Male"/>
    <s v="user83@example.com"/>
  </r>
  <r>
    <s v="EMP1139"/>
    <s v="BobJohnson"/>
    <s v="Bob"/>
    <s v="Johnson"/>
    <s v="BobJohnson"/>
    <x v="0"/>
    <s v="Unknown"/>
    <n v="73348"/>
    <d v="2017-09-03T00:00:00"/>
    <n v="8"/>
    <n v="2017"/>
    <n v="9"/>
    <n v="1"/>
    <d v="2026-03-07T09:54:02"/>
    <n v="2"/>
    <s v="Unknown"/>
    <s v="user22@example.com"/>
  </r>
  <r>
    <s v="EMP1144"/>
    <s v="EveAdams"/>
    <s v="Eve"/>
    <s v="Adams"/>
    <s v="EveAdams"/>
    <x v="2"/>
    <s v="Unknown"/>
    <n v="94148"/>
    <d v="2017-10-08T00:00:00"/>
    <n v="8"/>
    <n v="2017"/>
    <n v="10"/>
    <n v="1"/>
    <d v="2026-03-07T09:54:02"/>
    <n v="2"/>
    <s v="Unknown"/>
    <s v="user53@example.com"/>
  </r>
  <r>
    <s v="EMP1146"/>
    <s v="JohnDoe"/>
    <s v="John"/>
    <s v="Doe"/>
    <s v="JohnDoe"/>
    <x v="4"/>
    <s v="USA"/>
    <n v="57141"/>
    <d v="2017-10-22T00:00:00"/>
    <n v="8"/>
    <n v="2017"/>
    <n v="10"/>
    <n v="1"/>
    <d v="2026-03-07T09:54:02"/>
    <n v="2"/>
    <s v="Unknown"/>
    <s v="user165@example.com"/>
  </r>
  <r>
    <s v="EMP1001"/>
    <s v="EveAdams"/>
    <s v="Eve"/>
    <s v="Adams"/>
    <s v="EveAdams"/>
    <x v="5"/>
    <s v="Germany"/>
    <n v="54255"/>
    <d v="2015-01-11T00:00:00"/>
    <n v="11"/>
    <n v="2015"/>
    <n v="1"/>
    <n v="1"/>
    <d v="2026-03-07T09:54:02"/>
    <n v="1"/>
    <s v="Other"/>
    <s v="user106@example.com"/>
  </r>
  <r>
    <s v="EMP1003"/>
    <s v="JohnDoe"/>
    <s v="John"/>
    <s v="Doe"/>
    <s v="JohnDoe"/>
    <x v="1"/>
    <s v="USA"/>
    <n v="94406"/>
    <d v="2015-01-25T00:00:00"/>
    <n v="11"/>
    <n v="2015"/>
    <n v="1"/>
    <n v="1"/>
    <d v="2026-03-07T09:54:02"/>
    <n v="1"/>
    <s v="Male"/>
    <s v="user168@example.com"/>
  </r>
  <r>
    <s v="EMP1004"/>
    <s v="JaneSmith"/>
    <s v="Jane"/>
    <s v="Smith"/>
    <s v="JaneSmith"/>
    <x v="1"/>
    <s v="Germany"/>
    <n v="64120"/>
    <d v="2015-02-01T00:00:00"/>
    <n v="11"/>
    <n v="2015"/>
    <n v="2"/>
    <n v="1"/>
    <d v="2026-03-07T09:54:02"/>
    <n v="1"/>
    <s v="Male"/>
    <s v="user49@example.com"/>
  </r>
  <r>
    <s v="EMP1010"/>
    <s v="SamWilson"/>
    <s v="Sam"/>
    <s v="Wilson"/>
    <s v="SamWilson"/>
    <x v="3"/>
    <s v="UK"/>
    <n v="64247"/>
    <d v="2015-03-15T00:00:00"/>
    <n v="10"/>
    <n v="2015"/>
    <n v="3"/>
    <n v="1"/>
    <d v="2026-03-07T09:54:02"/>
    <n v="1"/>
    <s v="Female"/>
    <s v="user18@example.com"/>
  </r>
  <r>
    <s v="EMP1017"/>
    <s v="JaneSmith"/>
    <s v="Jane"/>
    <s v="Smith"/>
    <s v="JaneSmith"/>
    <x v="3"/>
    <s v="Australia"/>
    <n v="41341"/>
    <d v="2015-05-03T00:00:00"/>
    <n v="10"/>
    <n v="2015"/>
    <n v="5"/>
    <n v="1"/>
    <d v="2026-03-07T09:54:02"/>
    <n v="1"/>
    <s v="Other"/>
    <s v="user38@example.com"/>
  </r>
  <r>
    <s v="EMP1024"/>
    <s v="SamWilson"/>
    <s v="Sam"/>
    <s v="Wilson"/>
    <s v="SamWilson"/>
    <x v="3"/>
    <s v="Unknown"/>
    <n v="91005"/>
    <d v="2015-06-21T00:00:00"/>
    <n v="10"/>
    <n v="2015"/>
    <n v="6"/>
    <n v="1"/>
    <d v="2026-03-07T09:54:02"/>
    <n v="1"/>
    <s v="Other"/>
    <s v="user122@example.com"/>
  </r>
  <r>
    <s v="EMP1030"/>
    <s v="Unknown"/>
    <s v="Unknown"/>
    <s v="Unknown"/>
    <s v="Unknown"/>
    <x v="4"/>
    <s v="Unknown"/>
    <n v="92259"/>
    <s v="Unknown"/>
    <s v="Unknown"/>
    <s v="Unknown"/>
    <s v="Unknown"/>
    <s v="Unknown"/>
    <d v="2026-03-07T09:54:02"/>
    <n v="1"/>
    <s v="Unknown"/>
    <s v="user109@example.com"/>
  </r>
  <r>
    <s v="EMP1042"/>
    <s v="BobJohnson"/>
    <s v="Bob"/>
    <s v="Johnson"/>
    <s v="BobJohnson"/>
    <x v="2"/>
    <s v="Australia"/>
    <n v="64913"/>
    <d v="2015-10-25T00:00:00"/>
    <n v="10"/>
    <n v="2015"/>
    <n v="10"/>
    <n v="1"/>
    <d v="2026-03-07T09:54:02"/>
    <n v="1"/>
    <s v="Female"/>
    <s v="user175@example.com"/>
  </r>
  <r>
    <s v="EMP1044"/>
    <s v="ChrisLee"/>
    <s v="Chris"/>
    <s v="Lee"/>
    <s v="ChrisLee"/>
    <x v="3"/>
    <s v="Unknown"/>
    <n v="81610"/>
    <d v="2015-11-08T00:00:00"/>
    <n v="10"/>
    <n v="2015"/>
    <n v="11"/>
    <n v="1"/>
    <d v="2026-03-07T09:54:02"/>
    <n v="1"/>
    <s v="Unknown"/>
    <s v="user20@example.com"/>
  </r>
  <r>
    <s v="EMP1052"/>
    <s v="EveAdams"/>
    <s v="Eve"/>
    <s v="Adams"/>
    <s v="EveAdams"/>
    <x v="4"/>
    <s v="Unknown"/>
    <n v="30280"/>
    <d v="2016-01-03T00:00:00"/>
    <n v="10"/>
    <n v="2016"/>
    <n v="1"/>
    <n v="1"/>
    <d v="2026-03-07T09:54:02"/>
    <n v="1"/>
    <s v="Unknown"/>
    <s v="user152@example.com"/>
  </r>
  <r>
    <s v="EMP1056"/>
    <s v="JohnDoe"/>
    <s v="John"/>
    <s v="Doe"/>
    <s v="JohnDoe"/>
    <x v="1"/>
    <s v="Australia"/>
    <n v="60011"/>
    <d v="2016-01-31T00:00:00"/>
    <n v="10"/>
    <n v="2016"/>
    <n v="1"/>
    <n v="1"/>
    <d v="2026-03-07T09:54:02"/>
    <n v="1"/>
    <s v="Male"/>
    <s v="user63@example.com"/>
  </r>
  <r>
    <s v="EMP1059"/>
    <s v="SamWilson"/>
    <s v="Sam"/>
    <s v="Wilson"/>
    <s v="SamWilson"/>
    <x v="3"/>
    <s v="USA"/>
    <n v="82033"/>
    <d v="2016-02-21T00:00:00"/>
    <n v="10"/>
    <n v="2016"/>
    <n v="2"/>
    <n v="1"/>
    <d v="2026-03-07T09:54:02"/>
    <n v="1"/>
    <s v="Unknown"/>
    <s v="user20@example.com"/>
  </r>
  <r>
    <s v="EMP1064"/>
    <s v="JohnDoe"/>
    <s v="John"/>
    <s v="Doe"/>
    <s v="JohnDoe"/>
    <x v="0"/>
    <s v="India"/>
    <n v="84737"/>
    <d v="2016-03-27T00:00:00"/>
    <n v="9"/>
    <n v="2016"/>
    <n v="3"/>
    <n v="1"/>
    <d v="2026-03-07T09:54:02"/>
    <n v="1"/>
    <s v="Male"/>
    <s v="user141@example.com"/>
  </r>
  <r>
    <s v="EMP1069"/>
    <s v="BobJohnson"/>
    <s v="Bob"/>
    <s v="Johnson"/>
    <s v="BobJohnson"/>
    <x v="3"/>
    <s v="India"/>
    <n v="77096"/>
    <d v="2016-05-01T00:00:00"/>
    <n v="9"/>
    <n v="2016"/>
    <n v="5"/>
    <n v="1"/>
    <d v="2026-03-07T09:54:02"/>
    <n v="1"/>
    <s v="Unknown"/>
    <s v="user65@example.com"/>
  </r>
  <r>
    <s v="EMP1075"/>
    <s v="Unknown"/>
    <s v="Unknown"/>
    <s v="Unknown"/>
    <s v="Unknown"/>
    <x v="1"/>
    <s v="Unknown"/>
    <n v="96142"/>
    <d v="2016-06-12T00:00:00"/>
    <n v="9"/>
    <n v="2016"/>
    <n v="6"/>
    <n v="1"/>
    <d v="2026-03-07T09:54:02"/>
    <n v="1"/>
    <s v="Other"/>
    <s v="user17@example.com"/>
  </r>
  <r>
    <s v="EMP1076"/>
    <s v="EveAdams"/>
    <s v="Eve"/>
    <s v="Adams"/>
    <s v="EveAdams"/>
    <x v="0"/>
    <s v="India"/>
    <n v="94301"/>
    <d v="2016-06-19T00:00:00"/>
    <n v="9"/>
    <n v="2016"/>
    <n v="6"/>
    <n v="1"/>
    <d v="2026-03-07T09:54:02"/>
    <n v="1"/>
    <s v="Male"/>
    <s v="user20@example.com"/>
  </r>
  <r>
    <s v="EMP1077"/>
    <s v="JaneSmith"/>
    <s v="Jane"/>
    <s v="Smith"/>
    <s v="JaneSmith"/>
    <x v="2"/>
    <s v="UK"/>
    <n v="69166"/>
    <d v="2016-06-26T00:00:00"/>
    <n v="9"/>
    <n v="2016"/>
    <n v="6"/>
    <n v="1"/>
    <d v="2026-03-07T09:54:02"/>
    <n v="1"/>
    <s v="Female"/>
    <s v="user22@example.com"/>
  </r>
  <r>
    <s v="EMP1082"/>
    <s v="EveAdams"/>
    <s v="Eve"/>
    <s v="Adams"/>
    <s v="EveAdams"/>
    <x v="0"/>
    <s v="UK"/>
    <n v="42262"/>
    <d v="2016-07-31T00:00:00"/>
    <n v="9"/>
    <n v="2016"/>
    <n v="7"/>
    <n v="1"/>
    <d v="2026-03-07T09:54:02"/>
    <n v="1"/>
    <s v="Unknown"/>
    <s v="user104@example.com"/>
  </r>
  <r>
    <s v="EMP1091"/>
    <s v="AliceBrown"/>
    <s v="Alice"/>
    <s v="Brown"/>
    <s v="AliceBrown"/>
    <x v="5"/>
    <s v="Australia"/>
    <n v="69420"/>
    <d v="2016-10-02T00:00:00"/>
    <n v="9"/>
    <n v="2016"/>
    <n v="10"/>
    <n v="1"/>
    <d v="2026-03-07T09:54:02"/>
    <n v="1"/>
    <s v="Male"/>
    <s v="user43@example.com"/>
  </r>
  <r>
    <s v="EMP1097"/>
    <s v="SamWilson"/>
    <s v="Sam"/>
    <s v="Wilson"/>
    <s v="SamWilson"/>
    <x v="5"/>
    <s v="Germany"/>
    <n v="89333"/>
    <d v="2016-11-13T00:00:00"/>
    <n v="9"/>
    <n v="2016"/>
    <n v="11"/>
    <n v="1"/>
    <d v="2026-03-07T09:54:02"/>
    <n v="1"/>
    <s v="Male"/>
    <s v="user113@example.com"/>
  </r>
  <r>
    <s v="EMP1104"/>
    <s v="JaneSmith"/>
    <s v="Jane"/>
    <s v="Smith"/>
    <s v="JaneSmith"/>
    <x v="2"/>
    <s v="Australia"/>
    <n v="61556"/>
    <d v="2017-01-01T00:00:00"/>
    <n v="9"/>
    <n v="2017"/>
    <n v="1"/>
    <n v="1"/>
    <d v="2026-03-07T09:54:02"/>
    <n v="1"/>
    <s v="Unknown"/>
    <s v="user40@example.com"/>
  </r>
  <r>
    <s v="EMP1108"/>
    <s v="SamWilson"/>
    <s v="Sam"/>
    <s v="Wilson"/>
    <s v="SamWilson"/>
    <x v="5"/>
    <s v="Unknown"/>
    <n v="66761"/>
    <d v="2017-01-29T00:00:00"/>
    <n v="9"/>
    <n v="2017"/>
    <n v="1"/>
    <n v="1"/>
    <d v="2026-03-07T09:54:02"/>
    <n v="1"/>
    <s v="Unknown"/>
    <s v="user93@example.com"/>
  </r>
  <r>
    <s v="EMP1109"/>
    <s v="JaneSmith"/>
    <s v="Jane"/>
    <s v="Smith"/>
    <s v="JaneSmith"/>
    <x v="2"/>
    <s v="India"/>
    <n v="88850"/>
    <d v="2017-02-05T00:00:00"/>
    <n v="9"/>
    <n v="2017"/>
    <n v="2"/>
    <n v="1"/>
    <d v="2026-03-07T09:54:02"/>
    <n v="1"/>
    <s v="Female"/>
    <s v="user174@example.com"/>
  </r>
  <r>
    <s v="EMP1113"/>
    <s v="AliceBrown"/>
    <s v="Alice"/>
    <s v="Brown"/>
    <s v="AliceBrown"/>
    <x v="0"/>
    <s v="USA"/>
    <n v="47653"/>
    <d v="2017-03-05T00:00:00"/>
    <n v="9"/>
    <n v="2017"/>
    <n v="3"/>
    <n v="1"/>
    <d v="2026-03-07T09:54:02"/>
    <n v="1"/>
    <s v="Male"/>
    <s v="user82@example.com"/>
  </r>
  <r>
    <s v="EMP1117"/>
    <s v="BobJohnson"/>
    <s v="Bob"/>
    <s v="Johnson"/>
    <s v="BobJohnson"/>
    <x v="4"/>
    <s v="Unknown"/>
    <n v="73483"/>
    <d v="2017-04-02T00:00:00"/>
    <n v="8"/>
    <n v="2017"/>
    <n v="4"/>
    <n v="1"/>
    <d v="2026-03-07T09:54:02"/>
    <n v="1"/>
    <s v="Unknown"/>
    <s v="user137@example.com"/>
  </r>
  <r>
    <s v="EMP1124"/>
    <s v="JohnDoe"/>
    <s v="John"/>
    <s v="Doe"/>
    <s v="JohnDoe"/>
    <x v="0"/>
    <s v="Unknown"/>
    <n v="60034"/>
    <d v="2017-05-21T00:00:00"/>
    <n v="8"/>
    <n v="2017"/>
    <n v="5"/>
    <n v="1"/>
    <d v="2026-03-07T09:54:02"/>
    <n v="1"/>
    <s v="Female"/>
    <s v="user75@example.com"/>
  </r>
  <r>
    <s v="EMP1128"/>
    <s v="ChrisLee"/>
    <s v="Chris"/>
    <s v="Lee"/>
    <s v="ChrisLee"/>
    <x v="1"/>
    <s v="USA"/>
    <n v="30402"/>
    <d v="2017-06-18T00:00:00"/>
    <n v="8"/>
    <n v="2017"/>
    <n v="6"/>
    <n v="1"/>
    <d v="2026-03-07T09:54:02"/>
    <n v="1"/>
    <s v="Unknown"/>
    <s v="user167@example.com"/>
  </r>
  <r>
    <s v="EMP1134"/>
    <s v="EveAdams"/>
    <s v="Eve"/>
    <s v="Adams"/>
    <s v="EveAdams"/>
    <x v="4"/>
    <s v="India"/>
    <n v="62476"/>
    <d v="2017-07-30T00:00:00"/>
    <n v="8"/>
    <n v="2017"/>
    <n v="7"/>
    <n v="1"/>
    <d v="2026-03-07T09:54:02"/>
    <n v="1"/>
    <s v="Other"/>
    <s v="user63@example.com"/>
  </r>
  <r>
    <s v="EMP1147"/>
    <s v="BobJohnson"/>
    <s v="Bob"/>
    <s v="Johnson"/>
    <s v="BobJohnson"/>
    <x v="1"/>
    <s v="Australia"/>
    <n v="65270"/>
    <d v="2017-10-29T00:00:00"/>
    <n v="8"/>
    <n v="2017"/>
    <n v="10"/>
    <n v="1"/>
    <d v="2026-03-07T09:54:02"/>
    <n v="1"/>
    <s v="Unknown"/>
    <s v="user163@example.com"/>
  </r>
  <r>
    <s v="EMP1148"/>
    <s v="BobJohnson"/>
    <s v="Bob"/>
    <s v="Johnson"/>
    <s v="BobJohnson"/>
    <x v="2"/>
    <s v="UK"/>
    <n v="67335"/>
    <d v="2017-11-05T00:00:00"/>
    <n v="8"/>
    <n v="2017"/>
    <n v="11"/>
    <n v="1"/>
    <d v="2026-03-07T09:54:02"/>
    <n v="1"/>
    <s v="Other"/>
    <s v="user112@example.co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x v="0"/>
    <s v="SamWilson"/>
    <s v="Sam"/>
    <s v="Wilson"/>
    <s v="SamWilson"/>
    <x v="0"/>
    <s v="USA"/>
    <n v="91180"/>
    <d v="2015-03-22T00:00:00"/>
    <n v="10"/>
    <n v="2015"/>
    <n v="3"/>
    <n v="1"/>
    <d v="2026-03-09T19:39:36"/>
    <n v="5"/>
    <x v="0"/>
    <s v="user1@example.com"/>
  </r>
  <r>
    <x v="1"/>
    <s v="BobJohnson"/>
    <s v="Bob"/>
    <s v="Johnson"/>
    <s v="BobJohnson"/>
    <x v="1"/>
    <s v="Unknown"/>
    <n v="96418"/>
    <d v="2015-03-29T00:00:00"/>
    <n v="10"/>
    <n v="2015"/>
    <n v="3"/>
    <n v="1"/>
    <d v="2026-03-09T19:39:36"/>
    <n v="5"/>
    <x v="0"/>
    <s v="user106@example.com"/>
  </r>
  <r>
    <x v="2"/>
    <s v="EveAdams"/>
    <s v="Eve"/>
    <s v="Adams"/>
    <s v="EveAdams"/>
    <x v="2"/>
    <s v="India"/>
    <n v="67531"/>
    <d v="2015-05-17T00:00:00"/>
    <n v="10"/>
    <n v="2015"/>
    <n v="5"/>
    <n v="1"/>
    <d v="2026-03-09T19:39:36"/>
    <n v="5"/>
    <x v="1"/>
    <s v="user151@example.com"/>
  </r>
  <r>
    <x v="3"/>
    <s v="EveAdams"/>
    <s v="Eve"/>
    <s v="Adams"/>
    <s v="EveAdams"/>
    <x v="3"/>
    <s v="India"/>
    <n v="38333"/>
    <d v="2015-06-07T00:00:00"/>
    <n v="10"/>
    <n v="2015"/>
    <n v="6"/>
    <n v="1"/>
    <d v="2026-03-09T19:39:36"/>
    <n v="5"/>
    <x v="2"/>
    <s v="user128@example.com"/>
  </r>
  <r>
    <x v="4"/>
    <s v="BobJohnson"/>
    <s v="Bob"/>
    <s v="Johnson"/>
    <s v="BobJohnson"/>
    <x v="4"/>
    <s v="UK"/>
    <n v="92959"/>
    <d v="2015-07-26T00:00:00"/>
    <n v="10"/>
    <n v="2015"/>
    <n v="7"/>
    <n v="1"/>
    <d v="2026-03-09T19:39:36"/>
    <n v="5"/>
    <x v="2"/>
    <s v="user83@example.com"/>
  </r>
  <r>
    <x v="5"/>
    <s v="JohnDoe"/>
    <s v="John"/>
    <s v="Doe"/>
    <s v="JohnDoe"/>
    <x v="4"/>
    <s v="UK"/>
    <n v="52093"/>
    <d v="2015-09-27T00:00:00"/>
    <n v="10"/>
    <n v="2015"/>
    <n v="9"/>
    <n v="1"/>
    <d v="2026-03-09T19:39:36"/>
    <n v="5"/>
    <x v="2"/>
    <s v="user154@example.com"/>
  </r>
  <r>
    <x v="6"/>
    <s v="EveAdams"/>
    <s v="Eve"/>
    <s v="Adams"/>
    <s v="EveAdams"/>
    <x v="5"/>
    <s v="Germany"/>
    <n v="78720"/>
    <d v="2015-12-13T00:00:00"/>
    <n v="10"/>
    <n v="2015"/>
    <n v="12"/>
    <n v="1"/>
    <d v="2026-03-09T19:39:36"/>
    <n v="5"/>
    <x v="1"/>
    <s v="user89@example.com"/>
  </r>
  <r>
    <x v="7"/>
    <s v="SamWilson"/>
    <s v="Sam"/>
    <s v="Wilson"/>
    <s v="SamWilson"/>
    <x v="1"/>
    <s v="India"/>
    <n v="39423"/>
    <d v="2015-12-27T00:00:00"/>
    <n v="10"/>
    <n v="2015"/>
    <n v="12"/>
    <n v="1"/>
    <d v="2026-03-09T19:39:36"/>
    <n v="5"/>
    <x v="2"/>
    <s v="user59@example.com"/>
  </r>
  <r>
    <x v="8"/>
    <s v="BobJohnson"/>
    <s v="Bob"/>
    <s v="Johnson"/>
    <s v="BobJohnson"/>
    <x v="4"/>
    <s v="UK"/>
    <n v="75633"/>
    <d v="2016-01-17T00:00:00"/>
    <n v="10"/>
    <n v="2016"/>
    <n v="1"/>
    <n v="1"/>
    <d v="2026-03-09T19:39:36"/>
    <n v="5"/>
    <x v="3"/>
    <s v="user92@example.com"/>
  </r>
  <r>
    <x v="9"/>
    <s v="ChrisLee"/>
    <s v="Chris"/>
    <s v="Lee"/>
    <s v="ChrisLee"/>
    <x v="2"/>
    <s v="USA"/>
    <n v="74815"/>
    <d v="2016-01-24T00:00:00"/>
    <n v="10"/>
    <n v="2016"/>
    <n v="1"/>
    <n v="1"/>
    <d v="2026-03-09T19:39:36"/>
    <n v="5"/>
    <x v="1"/>
    <s v="user50@example.com"/>
  </r>
  <r>
    <x v="10"/>
    <s v="SamWilson"/>
    <s v="Sam"/>
    <s v="Wilson"/>
    <s v="SamWilson"/>
    <x v="4"/>
    <s v="Unknown"/>
    <n v="84924"/>
    <d v="2016-02-14T00:00:00"/>
    <n v="10"/>
    <n v="2016"/>
    <n v="2"/>
    <n v="1"/>
    <d v="2026-03-09T19:39:36"/>
    <n v="5"/>
    <x v="0"/>
    <s v="user150@example.com"/>
  </r>
  <r>
    <x v="11"/>
    <s v="Unknown"/>
    <s v="Unknown"/>
    <s v="Unknown"/>
    <s v="Unknown"/>
    <x v="4"/>
    <s v="Germany"/>
    <n v="66281"/>
    <s v="Unknown"/>
    <s v="Unknown"/>
    <s v="Unknown"/>
    <s v="Unknown"/>
    <s v="Unknown"/>
    <d v="2026-03-09T19:39:36"/>
    <n v="5"/>
    <x v="2"/>
    <s v="user112@example.com"/>
  </r>
  <r>
    <x v="12"/>
    <s v="ChrisLee"/>
    <s v="Chris"/>
    <s v="Lee"/>
    <s v="ChrisLee"/>
    <x v="0"/>
    <s v="UK"/>
    <n v="97981"/>
    <d v="2016-03-13T00:00:00"/>
    <n v="9"/>
    <n v="2016"/>
    <n v="3"/>
    <n v="1"/>
    <d v="2026-03-09T19:39:36"/>
    <n v="5"/>
    <x v="1"/>
    <s v="user71@example.com"/>
  </r>
  <r>
    <x v="13"/>
    <s v="EveAdams"/>
    <s v="Eve"/>
    <s v="Adams"/>
    <s v="EveAdams"/>
    <x v="1"/>
    <s v="Australia"/>
    <n v="69952"/>
    <d v="2016-05-08T00:00:00"/>
    <n v="9"/>
    <n v="2016"/>
    <n v="5"/>
    <n v="1"/>
    <d v="2026-03-09T19:39:36"/>
    <n v="5"/>
    <x v="1"/>
    <s v="Unknown"/>
  </r>
  <r>
    <x v="14"/>
    <s v="ChrisLee"/>
    <s v="Chris"/>
    <s v="Lee"/>
    <s v="ChrisLee"/>
    <x v="3"/>
    <s v="Unknown"/>
    <n v="35163"/>
    <d v="2016-08-21T00:00:00"/>
    <n v="9"/>
    <n v="2016"/>
    <n v="8"/>
    <n v="1"/>
    <d v="2026-03-09T19:39:36"/>
    <n v="5"/>
    <x v="3"/>
    <s v="user197@example.com"/>
  </r>
  <r>
    <x v="15"/>
    <s v="JaneSmith"/>
    <s v="Jane"/>
    <s v="Smith"/>
    <s v="JaneSmith"/>
    <x v="0"/>
    <s v="Unknown"/>
    <n v="80588"/>
    <d v="2016-10-09T00:00:00"/>
    <n v="9"/>
    <n v="2016"/>
    <n v="10"/>
    <n v="1"/>
    <d v="2026-03-09T19:39:36"/>
    <n v="5"/>
    <x v="0"/>
    <s v="user98@example.com"/>
  </r>
  <r>
    <x v="16"/>
    <s v="AliceBrown"/>
    <s v="Alice"/>
    <s v="Brown"/>
    <s v="AliceBrown"/>
    <x v="4"/>
    <s v="Unknown"/>
    <n v="79145"/>
    <d v="2016-12-25T00:00:00"/>
    <n v="9"/>
    <n v="2016"/>
    <n v="12"/>
    <n v="1"/>
    <d v="2026-03-09T19:39:36"/>
    <n v="5"/>
    <x v="3"/>
    <s v="user20@example.com"/>
  </r>
  <r>
    <x v="17"/>
    <s v="ChrisLee"/>
    <s v="Chris"/>
    <s v="Lee"/>
    <s v="ChrisLee"/>
    <x v="0"/>
    <s v="USA"/>
    <n v="34306"/>
    <d v="2017-02-19T00:00:00"/>
    <n v="9"/>
    <n v="2017"/>
    <n v="2"/>
    <n v="1"/>
    <d v="2026-03-09T19:39:36"/>
    <n v="5"/>
    <x v="1"/>
    <s v="user192@example.com"/>
  </r>
  <r>
    <x v="18"/>
    <s v="BobJohnson"/>
    <s v="Bob"/>
    <s v="Johnson"/>
    <s v="BobJohnson"/>
    <x v="4"/>
    <s v="Australia"/>
    <n v="38837"/>
    <d v="2017-03-26T00:00:00"/>
    <n v="8"/>
    <n v="2017"/>
    <n v="3"/>
    <n v="1"/>
    <d v="2026-03-09T19:39:36"/>
    <n v="5"/>
    <x v="1"/>
    <s v="user192@example.com"/>
  </r>
  <r>
    <x v="19"/>
    <s v="Unknown"/>
    <s v="Unknown"/>
    <s v="Unknown"/>
    <s v="Unknown"/>
    <x v="0"/>
    <s v="USA"/>
    <n v="66281"/>
    <s v="Unknown"/>
    <s v="Unknown"/>
    <s v="Unknown"/>
    <s v="Unknown"/>
    <s v="Unknown"/>
    <d v="2026-03-09T19:39:36"/>
    <n v="5"/>
    <x v="2"/>
    <s v="user101@example.com"/>
  </r>
  <r>
    <x v="20"/>
    <s v="JaneSmith"/>
    <s v="Jane"/>
    <s v="Smith"/>
    <s v="JaneSmith"/>
    <x v="2"/>
    <s v="Germany"/>
    <n v="30357"/>
    <d v="2017-05-14T00:00:00"/>
    <n v="8"/>
    <n v="2017"/>
    <n v="5"/>
    <n v="1"/>
    <d v="2026-03-09T19:39:36"/>
    <n v="5"/>
    <x v="0"/>
    <s v="user145@example.com"/>
  </r>
  <r>
    <x v="21"/>
    <s v="JohnDoe"/>
    <s v="John"/>
    <s v="Doe"/>
    <s v="JohnDoe"/>
    <x v="3"/>
    <s v="Unknown"/>
    <n v="90019"/>
    <d v="2017-05-28T00:00:00"/>
    <n v="8"/>
    <n v="2017"/>
    <n v="5"/>
    <n v="1"/>
    <d v="2026-03-09T19:39:36"/>
    <n v="5"/>
    <x v="2"/>
    <s v="user52@example.com"/>
  </r>
  <r>
    <x v="22"/>
    <s v="JaneSmith"/>
    <s v="Jane"/>
    <s v="Smith"/>
    <s v="JaneSmith"/>
    <x v="4"/>
    <s v="USA"/>
    <n v="66882"/>
    <d v="2017-09-17T00:00:00"/>
    <n v="8"/>
    <n v="2017"/>
    <n v="9"/>
    <n v="1"/>
    <d v="2026-03-09T19:39:36"/>
    <n v="5"/>
    <x v="3"/>
    <s v="user103@example.com"/>
  </r>
  <r>
    <x v="23"/>
    <s v="SamWilson"/>
    <s v="Sam"/>
    <s v="Wilson"/>
    <s v="SamWilson"/>
    <x v="1"/>
    <s v="Australia"/>
    <n v="35627"/>
    <d v="2017-10-15T00:00:00"/>
    <n v="8"/>
    <n v="2017"/>
    <n v="10"/>
    <n v="1"/>
    <d v="2026-03-09T19:39:36"/>
    <n v="5"/>
    <x v="1"/>
    <s v="user188@example.com"/>
  </r>
  <r>
    <x v="24"/>
    <s v="SamWilson"/>
    <s v="Sam"/>
    <s v="Wilson"/>
    <s v="SamWilson"/>
    <x v="4"/>
    <s v="India"/>
    <n v="98475"/>
    <d v="2017-11-12T00:00:00"/>
    <n v="8"/>
    <n v="2017"/>
    <n v="11"/>
    <n v="1"/>
    <d v="2026-03-09T19:39:36"/>
    <n v="5"/>
    <x v="3"/>
    <s v="user30@example.com"/>
  </r>
  <r>
    <x v="25"/>
    <s v="SamWilson"/>
    <s v="Sam"/>
    <s v="Wilson"/>
    <s v="SamWilson"/>
    <x v="2"/>
    <s v="India"/>
    <n v="62158"/>
    <d v="2015-04-05T00:00:00"/>
    <n v="10"/>
    <n v="2015"/>
    <n v="4"/>
    <n v="1"/>
    <d v="2026-03-09T19:39:36"/>
    <n v="4"/>
    <x v="2"/>
    <s v="user180@example.com"/>
  </r>
  <r>
    <x v="26"/>
    <s v="JaneSmith"/>
    <s v="Jane"/>
    <s v="Smith"/>
    <s v="JaneSmith"/>
    <x v="5"/>
    <s v="Unknown"/>
    <n v="98922"/>
    <d v="2015-05-31T00:00:00"/>
    <n v="10"/>
    <n v="2015"/>
    <n v="5"/>
    <n v="1"/>
    <d v="2026-03-09T19:39:36"/>
    <n v="4"/>
    <x v="2"/>
    <s v="user77@example.com"/>
  </r>
  <r>
    <x v="27"/>
    <s v="AliceBrown"/>
    <s v="Alice"/>
    <s v="Brown"/>
    <s v="AliceBrown"/>
    <x v="2"/>
    <s v="UK"/>
    <n v="54463"/>
    <d v="2015-09-06T00:00:00"/>
    <n v="10"/>
    <n v="2015"/>
    <n v="9"/>
    <n v="1"/>
    <d v="2026-03-09T19:39:36"/>
    <n v="4"/>
    <x v="0"/>
    <s v="Unknown"/>
  </r>
  <r>
    <x v="28"/>
    <s v="BobJohnson"/>
    <s v="Bob"/>
    <s v="Johnson"/>
    <s v="BobJohnson"/>
    <x v="3"/>
    <s v="UK"/>
    <n v="66281"/>
    <s v="Unknown"/>
    <s v="Unknown"/>
    <s v="Unknown"/>
    <s v="Unknown"/>
    <s v="Unknown"/>
    <d v="2026-03-09T19:39:36"/>
    <n v="4"/>
    <x v="1"/>
    <s v="user89@example.com"/>
  </r>
  <r>
    <x v="29"/>
    <s v="ChrisLee"/>
    <s v="Chris"/>
    <s v="Lee"/>
    <s v="ChrisLee"/>
    <x v="5"/>
    <s v="India"/>
    <n v="58245"/>
    <d v="2015-11-29T00:00:00"/>
    <n v="10"/>
    <n v="2015"/>
    <n v="11"/>
    <n v="1"/>
    <d v="2026-03-09T19:39:36"/>
    <n v="4"/>
    <x v="2"/>
    <s v="user43@example.com"/>
  </r>
  <r>
    <x v="30"/>
    <s v="SamWilson"/>
    <s v="Sam"/>
    <s v="Wilson"/>
    <s v="SamWilson"/>
    <x v="3"/>
    <s v="India"/>
    <n v="33468"/>
    <d v="2016-04-03T00:00:00"/>
    <n v="9"/>
    <n v="2016"/>
    <n v="4"/>
    <n v="1"/>
    <d v="2026-03-09T19:39:36"/>
    <n v="4"/>
    <x v="0"/>
    <s v="user125@example.com"/>
  </r>
  <r>
    <x v="31"/>
    <s v="JohnDoe"/>
    <s v="John"/>
    <s v="Doe"/>
    <s v="JohnDoe"/>
    <x v="1"/>
    <s v="India"/>
    <n v="91101"/>
    <d v="2016-05-29T00:00:00"/>
    <n v="9"/>
    <n v="2016"/>
    <n v="5"/>
    <n v="1"/>
    <d v="2026-03-09T19:39:36"/>
    <n v="4"/>
    <x v="1"/>
    <s v="user71@example.com"/>
  </r>
  <r>
    <x v="32"/>
    <s v="JohnDoe"/>
    <s v="John"/>
    <s v="Doe"/>
    <s v="JohnDoe"/>
    <x v="4"/>
    <s v="India"/>
    <n v="44682"/>
    <d v="2016-08-14T00:00:00"/>
    <n v="9"/>
    <n v="2016"/>
    <n v="8"/>
    <n v="1"/>
    <d v="2026-03-09T19:39:36"/>
    <n v="4"/>
    <x v="1"/>
    <s v="user47@example.com"/>
  </r>
  <r>
    <x v="33"/>
    <s v="ChrisLee"/>
    <s v="Chris"/>
    <s v="Lee"/>
    <s v="ChrisLee"/>
    <x v="0"/>
    <s v="India"/>
    <n v="33483"/>
    <d v="2016-08-28T00:00:00"/>
    <n v="9"/>
    <n v="2016"/>
    <n v="8"/>
    <n v="1"/>
    <d v="2026-03-09T19:39:36"/>
    <n v="4"/>
    <x v="0"/>
    <s v="user177@example.com"/>
  </r>
  <r>
    <x v="34"/>
    <s v="SamWilson"/>
    <s v="Sam"/>
    <s v="Wilson"/>
    <s v="SamWilson"/>
    <x v="5"/>
    <s v="Germany"/>
    <n v="55303"/>
    <d v="2016-09-04T00:00:00"/>
    <n v="9"/>
    <n v="2016"/>
    <n v="9"/>
    <n v="1"/>
    <d v="2026-03-09T19:39:36"/>
    <n v="4"/>
    <x v="0"/>
    <s v="user149@example.com"/>
  </r>
  <r>
    <x v="35"/>
    <s v="AliceBrown"/>
    <s v="Alice"/>
    <s v="Brown"/>
    <s v="AliceBrown"/>
    <x v="2"/>
    <s v="USA"/>
    <n v="76238"/>
    <d v="2016-10-16T00:00:00"/>
    <n v="9"/>
    <n v="2016"/>
    <n v="10"/>
    <n v="1"/>
    <d v="2026-03-09T19:39:36"/>
    <n v="4"/>
    <x v="0"/>
    <s v="user102@example.com"/>
  </r>
  <r>
    <x v="36"/>
    <s v="EveAdams"/>
    <s v="Eve"/>
    <s v="Adams"/>
    <s v="EveAdams"/>
    <x v="4"/>
    <s v="USA"/>
    <n v="70096"/>
    <d v="2016-11-27T00:00:00"/>
    <n v="9"/>
    <n v="2016"/>
    <n v="11"/>
    <n v="1"/>
    <d v="2026-03-09T19:39:36"/>
    <n v="4"/>
    <x v="0"/>
    <s v="user76@example.com"/>
  </r>
  <r>
    <x v="37"/>
    <s v="EveAdams"/>
    <s v="Eve"/>
    <s v="Adams"/>
    <s v="EveAdams"/>
    <x v="4"/>
    <s v="UK"/>
    <n v="44627"/>
    <d v="2017-03-12T00:00:00"/>
    <n v="8"/>
    <n v="2017"/>
    <n v="3"/>
    <n v="1"/>
    <d v="2026-03-09T19:39:36"/>
    <n v="4"/>
    <x v="2"/>
    <s v="user97@example.com"/>
  </r>
  <r>
    <x v="38"/>
    <s v="BobJohnson"/>
    <s v="Bob"/>
    <s v="Johnson"/>
    <s v="BobJohnson"/>
    <x v="5"/>
    <s v="Germany"/>
    <n v="92343"/>
    <d v="2017-03-19T00:00:00"/>
    <n v="8"/>
    <n v="2017"/>
    <n v="3"/>
    <n v="1"/>
    <d v="2026-03-09T19:39:36"/>
    <n v="4"/>
    <x v="1"/>
    <s v="user149@example.com"/>
  </r>
  <r>
    <x v="39"/>
    <s v="JaneSmith"/>
    <s v="Jane"/>
    <s v="Smith"/>
    <s v="JaneSmith"/>
    <x v="3"/>
    <s v="India"/>
    <n v="60335"/>
    <d v="2017-08-13T00:00:00"/>
    <n v="8"/>
    <n v="2017"/>
    <n v="8"/>
    <n v="1"/>
    <d v="2026-03-09T19:39:36"/>
    <n v="4"/>
    <x v="3"/>
    <s v="user59@example.com"/>
  </r>
  <r>
    <x v="40"/>
    <s v="ChrisLee"/>
    <s v="Chris"/>
    <s v="Lee"/>
    <s v="ChrisLee"/>
    <x v="4"/>
    <s v="Australia"/>
    <n v="84750"/>
    <d v="2017-08-27T00:00:00"/>
    <n v="8"/>
    <n v="2017"/>
    <n v="8"/>
    <n v="1"/>
    <d v="2026-03-09T19:39:36"/>
    <n v="4"/>
    <x v="1"/>
    <s v="user3@example.com"/>
  </r>
  <r>
    <x v="41"/>
    <s v="ChrisLee"/>
    <s v="Chris"/>
    <s v="Lee"/>
    <s v="ChrisLee"/>
    <x v="1"/>
    <s v="USA"/>
    <n v="66281"/>
    <d v="2017-09-10T00:00:00"/>
    <n v="8"/>
    <n v="2017"/>
    <n v="9"/>
    <n v="1"/>
    <d v="2026-03-09T19:39:36"/>
    <n v="4"/>
    <x v="3"/>
    <s v="Unknown"/>
  </r>
  <r>
    <x v="42"/>
    <s v="SamWilson"/>
    <s v="Sam"/>
    <s v="Wilson"/>
    <s v="SamWilson"/>
    <x v="1"/>
    <s v="Unknown"/>
    <n v="67721"/>
    <d v="2015-02-15T00:00:00"/>
    <n v="11"/>
    <n v="2015"/>
    <n v="2"/>
    <n v="1"/>
    <d v="2026-03-09T19:39:36"/>
    <n v="3"/>
    <x v="0"/>
    <s v="user168@example.com"/>
  </r>
  <r>
    <x v="43"/>
    <s v="AliceBrown"/>
    <s v="Alice"/>
    <s v="Brown"/>
    <s v="AliceBrown"/>
    <x v="0"/>
    <s v="Germany"/>
    <n v="97881"/>
    <d v="2015-03-01T00:00:00"/>
    <n v="11"/>
    <n v="2015"/>
    <n v="3"/>
    <n v="1"/>
    <d v="2026-03-09T19:39:36"/>
    <n v="3"/>
    <x v="1"/>
    <s v="user25@example.com"/>
  </r>
  <r>
    <x v="44"/>
    <s v="ChrisLee"/>
    <s v="Chris"/>
    <s v="Lee"/>
    <s v="ChrisLee"/>
    <x v="5"/>
    <s v="UK"/>
    <n v="91846"/>
    <d v="2015-03-08T00:00:00"/>
    <n v="11"/>
    <n v="2015"/>
    <n v="3"/>
    <n v="1"/>
    <d v="2026-03-09T19:39:36"/>
    <n v="3"/>
    <x v="0"/>
    <s v="user153@example.com"/>
  </r>
  <r>
    <x v="45"/>
    <s v="Unknown"/>
    <s v="Unknown"/>
    <s v="Unknown"/>
    <s v="Unknown"/>
    <x v="0"/>
    <s v="India"/>
    <n v="92443"/>
    <d v="2015-04-19T00:00:00"/>
    <n v="10"/>
    <n v="2015"/>
    <n v="4"/>
    <n v="1"/>
    <d v="2026-03-09T19:39:36"/>
    <n v="3"/>
    <x v="3"/>
    <s v="user3@example.com"/>
  </r>
  <r>
    <x v="46"/>
    <s v="BobJohnson"/>
    <s v="Bob"/>
    <s v="Johnson"/>
    <s v="BobJohnson"/>
    <x v="2"/>
    <s v="Germany"/>
    <n v="90271"/>
    <d v="2015-04-26T00:00:00"/>
    <n v="10"/>
    <n v="2015"/>
    <n v="4"/>
    <n v="1"/>
    <d v="2026-03-09T19:39:36"/>
    <n v="3"/>
    <x v="2"/>
    <s v="user64@example.com"/>
  </r>
  <r>
    <x v="47"/>
    <s v="AliceBrown"/>
    <s v="Alice"/>
    <s v="Brown"/>
    <s v="AliceBrown"/>
    <x v="3"/>
    <s v="UK"/>
    <n v="73602"/>
    <d v="2015-05-10T00:00:00"/>
    <n v="10"/>
    <n v="2015"/>
    <n v="5"/>
    <n v="1"/>
    <d v="2026-03-09T19:39:36"/>
    <n v="3"/>
    <x v="2"/>
    <s v="user96@example.com"/>
  </r>
  <r>
    <x v="48"/>
    <s v="AliceBrown"/>
    <s v="Alice"/>
    <s v="Brown"/>
    <s v="AliceBrown"/>
    <x v="4"/>
    <s v="UK"/>
    <n v="36515"/>
    <d v="2015-06-14T00:00:00"/>
    <n v="10"/>
    <n v="2015"/>
    <n v="6"/>
    <n v="1"/>
    <d v="2026-03-09T19:39:36"/>
    <n v="3"/>
    <x v="0"/>
    <s v="user149@example.com"/>
  </r>
  <r>
    <x v="49"/>
    <s v="ChrisLee"/>
    <s v="Chris"/>
    <s v="Lee"/>
    <s v="ChrisLee"/>
    <x v="2"/>
    <s v="Unknown"/>
    <n v="52272"/>
    <d v="2015-06-28T00:00:00"/>
    <n v="10"/>
    <n v="2015"/>
    <n v="6"/>
    <n v="1"/>
    <d v="2026-03-09T19:39:36"/>
    <n v="3"/>
    <x v="2"/>
    <s v="user41@example.com"/>
  </r>
  <r>
    <x v="50"/>
    <s v="AliceBrown"/>
    <s v="Alice"/>
    <s v="Brown"/>
    <s v="AliceBrown"/>
    <x v="0"/>
    <s v="UK"/>
    <n v="41448"/>
    <d v="2015-07-12T00:00:00"/>
    <n v="10"/>
    <n v="2015"/>
    <n v="7"/>
    <n v="1"/>
    <d v="2026-03-09T19:39:36"/>
    <n v="3"/>
    <x v="3"/>
    <s v="user103@example.com"/>
  </r>
  <r>
    <x v="51"/>
    <s v="EveAdams"/>
    <s v="Eve"/>
    <s v="Adams"/>
    <s v="EveAdams"/>
    <x v="5"/>
    <s v="Germany"/>
    <n v="92299"/>
    <d v="2015-08-09T00:00:00"/>
    <n v="10"/>
    <n v="2015"/>
    <n v="8"/>
    <n v="1"/>
    <d v="2026-03-09T19:39:36"/>
    <n v="3"/>
    <x v="0"/>
    <s v="user143@example.com"/>
  </r>
  <r>
    <x v="52"/>
    <s v="SamWilson"/>
    <s v="Sam"/>
    <s v="Wilson"/>
    <s v="SamWilson"/>
    <x v="5"/>
    <s v="Unknown"/>
    <n v="95586"/>
    <d v="2015-08-16T00:00:00"/>
    <n v="10"/>
    <n v="2015"/>
    <n v="8"/>
    <n v="1"/>
    <d v="2026-03-09T19:39:36"/>
    <n v="3"/>
    <x v="3"/>
    <s v="user190@example.com"/>
  </r>
  <r>
    <x v="53"/>
    <s v="ChrisLee"/>
    <s v="Chris"/>
    <s v="Lee"/>
    <s v="ChrisLee"/>
    <x v="2"/>
    <s v="USA"/>
    <n v="95367"/>
    <d v="2015-08-23T00:00:00"/>
    <n v="10"/>
    <n v="2015"/>
    <n v="8"/>
    <n v="1"/>
    <d v="2026-03-09T19:39:36"/>
    <n v="3"/>
    <x v="0"/>
    <s v="user136@example.com"/>
  </r>
  <r>
    <x v="54"/>
    <s v="JohnDoe"/>
    <s v="John"/>
    <s v="Doe"/>
    <s v="JohnDoe"/>
    <x v="1"/>
    <s v="Australia"/>
    <n v="79549"/>
    <d v="2015-08-30T00:00:00"/>
    <n v="10"/>
    <n v="2015"/>
    <n v="8"/>
    <n v="1"/>
    <d v="2026-03-09T19:39:36"/>
    <n v="3"/>
    <x v="2"/>
    <s v="user198@example.com"/>
  </r>
  <r>
    <x v="55"/>
    <s v="AliceBrown"/>
    <s v="Alice"/>
    <s v="Brown"/>
    <s v="AliceBrown"/>
    <x v="0"/>
    <s v="USA"/>
    <n v="89781"/>
    <d v="2015-09-13T00:00:00"/>
    <n v="10"/>
    <n v="2015"/>
    <n v="9"/>
    <n v="1"/>
    <d v="2026-03-09T19:39:36"/>
    <n v="3"/>
    <x v="1"/>
    <s v="user31@example.com"/>
  </r>
  <r>
    <x v="56"/>
    <s v="AliceBrown"/>
    <s v="Alice"/>
    <s v="Brown"/>
    <s v="AliceBrown"/>
    <x v="5"/>
    <s v="Unknown"/>
    <n v="64796"/>
    <d v="2015-09-20T00:00:00"/>
    <n v="10"/>
    <n v="2015"/>
    <n v="9"/>
    <n v="1"/>
    <d v="2026-03-09T19:39:36"/>
    <n v="3"/>
    <x v="3"/>
    <s v="user98@example.com"/>
  </r>
  <r>
    <x v="57"/>
    <s v="ChrisLee"/>
    <s v="Chris"/>
    <s v="Lee"/>
    <s v="ChrisLee"/>
    <x v="5"/>
    <s v="UK"/>
    <n v="48224"/>
    <d v="2015-10-04T00:00:00"/>
    <n v="10"/>
    <n v="2015"/>
    <n v="10"/>
    <n v="1"/>
    <d v="2026-03-09T19:39:36"/>
    <n v="3"/>
    <x v="2"/>
    <s v="user42@example.com"/>
  </r>
  <r>
    <x v="58"/>
    <s v="AliceBrown"/>
    <s v="Alice"/>
    <s v="Brown"/>
    <s v="AliceBrown"/>
    <x v="0"/>
    <s v="Germany"/>
    <n v="33956"/>
    <d v="2015-10-18T00:00:00"/>
    <n v="10"/>
    <n v="2015"/>
    <n v="10"/>
    <n v="1"/>
    <d v="2026-03-09T19:39:36"/>
    <n v="3"/>
    <x v="2"/>
    <s v="user47@example.com"/>
  </r>
  <r>
    <x v="59"/>
    <s v="AliceBrown"/>
    <s v="Alice"/>
    <s v="Brown"/>
    <s v="AliceBrown"/>
    <x v="4"/>
    <s v="Australia"/>
    <n v="35326"/>
    <d v="2015-11-01T00:00:00"/>
    <n v="10"/>
    <n v="2015"/>
    <n v="11"/>
    <n v="1"/>
    <d v="2026-03-09T19:39:36"/>
    <n v="3"/>
    <x v="1"/>
    <s v="user57@example.com"/>
  </r>
  <r>
    <x v="60"/>
    <s v="Unknown"/>
    <s v="Unknown"/>
    <s v="Unknown"/>
    <s v="Unknown"/>
    <x v="5"/>
    <s v="Unknown"/>
    <n v="58962"/>
    <d v="2015-11-15T00:00:00"/>
    <n v="10"/>
    <n v="2015"/>
    <n v="11"/>
    <n v="1"/>
    <d v="2026-03-09T19:39:36"/>
    <n v="3"/>
    <x v="3"/>
    <s v="user106@example.com"/>
  </r>
  <r>
    <x v="61"/>
    <s v="ChrisLee"/>
    <s v="Chris"/>
    <s v="Lee"/>
    <s v="ChrisLee"/>
    <x v="0"/>
    <s v="Germany"/>
    <n v="92701"/>
    <d v="2015-11-22T00:00:00"/>
    <n v="10"/>
    <n v="2015"/>
    <n v="11"/>
    <n v="1"/>
    <d v="2026-03-09T19:39:36"/>
    <n v="3"/>
    <x v="3"/>
    <s v="user199@example.com"/>
  </r>
  <r>
    <x v="62"/>
    <s v="EveAdams"/>
    <s v="Eve"/>
    <s v="Adams"/>
    <s v="EveAdams"/>
    <x v="3"/>
    <s v="UK"/>
    <n v="33352"/>
    <d v="2016-01-10T00:00:00"/>
    <n v="10"/>
    <n v="2016"/>
    <n v="1"/>
    <n v="1"/>
    <d v="2026-03-09T19:39:36"/>
    <n v="3"/>
    <x v="1"/>
    <s v="user200@example.com"/>
  </r>
  <r>
    <x v="63"/>
    <s v="EveAdams"/>
    <s v="Eve"/>
    <s v="Adams"/>
    <s v="EveAdams"/>
    <x v="2"/>
    <s v="India"/>
    <n v="96949"/>
    <d v="2016-02-07T00:00:00"/>
    <n v="10"/>
    <n v="2016"/>
    <n v="2"/>
    <n v="1"/>
    <d v="2026-03-09T19:39:36"/>
    <n v="3"/>
    <x v="2"/>
    <s v="user103@example.com"/>
  </r>
  <r>
    <x v="64"/>
    <s v="SamWilson"/>
    <s v="Sam"/>
    <s v="Wilson"/>
    <s v="SamWilson"/>
    <x v="2"/>
    <s v="Australia"/>
    <n v="96365"/>
    <d v="2016-04-10T00:00:00"/>
    <n v="9"/>
    <n v="2016"/>
    <n v="4"/>
    <n v="1"/>
    <d v="2026-03-09T19:39:36"/>
    <n v="3"/>
    <x v="3"/>
    <s v="user90@example.com"/>
  </r>
  <r>
    <x v="65"/>
    <s v="AliceBrown"/>
    <s v="Alice"/>
    <s v="Brown"/>
    <s v="AliceBrown"/>
    <x v="1"/>
    <s v="India"/>
    <n v="61942"/>
    <d v="2016-04-17T00:00:00"/>
    <n v="9"/>
    <n v="2016"/>
    <n v="4"/>
    <n v="1"/>
    <d v="2026-03-09T19:39:36"/>
    <n v="3"/>
    <x v="1"/>
    <s v="user192@example.com"/>
  </r>
  <r>
    <x v="66"/>
    <s v="EveAdams"/>
    <s v="Eve"/>
    <s v="Adams"/>
    <s v="EveAdams"/>
    <x v="4"/>
    <s v="USA"/>
    <n v="85065"/>
    <d v="2016-05-15T00:00:00"/>
    <n v="9"/>
    <n v="2016"/>
    <n v="5"/>
    <n v="1"/>
    <d v="2026-03-09T19:39:36"/>
    <n v="3"/>
    <x v="2"/>
    <s v="user142@example.com"/>
  </r>
  <r>
    <x v="67"/>
    <s v="BobJohnson"/>
    <s v="Bob"/>
    <s v="Johnson"/>
    <s v="BobJohnson"/>
    <x v="4"/>
    <s v="India"/>
    <n v="56512"/>
    <d v="2016-05-22T00:00:00"/>
    <n v="9"/>
    <n v="2016"/>
    <n v="5"/>
    <n v="1"/>
    <d v="2026-03-09T19:39:36"/>
    <n v="3"/>
    <x v="3"/>
    <s v="user153@example.com"/>
  </r>
  <r>
    <x v="68"/>
    <s v="SamWilson"/>
    <s v="Sam"/>
    <s v="Wilson"/>
    <s v="SamWilson"/>
    <x v="2"/>
    <s v="Germany"/>
    <n v="41243"/>
    <d v="2016-06-05T00:00:00"/>
    <n v="9"/>
    <n v="2016"/>
    <n v="6"/>
    <n v="1"/>
    <d v="2026-03-09T19:39:36"/>
    <n v="3"/>
    <x v="2"/>
    <s v="user143@example.com"/>
  </r>
  <r>
    <x v="69"/>
    <s v="EveAdams"/>
    <s v="Eve"/>
    <s v="Adams"/>
    <s v="EveAdams"/>
    <x v="4"/>
    <s v="India"/>
    <n v="66281"/>
    <s v="Unknown"/>
    <s v="Unknown"/>
    <s v="Unknown"/>
    <s v="Unknown"/>
    <s v="Unknown"/>
    <d v="2026-03-09T19:39:36"/>
    <n v="3"/>
    <x v="2"/>
    <s v="user135@example.com"/>
  </r>
  <r>
    <x v="70"/>
    <s v="JaneSmith"/>
    <s v="Jane"/>
    <s v="Smith"/>
    <s v="JaneSmith"/>
    <x v="1"/>
    <s v="USA"/>
    <n v="95621"/>
    <d v="2016-07-24T00:00:00"/>
    <n v="9"/>
    <n v="2016"/>
    <n v="7"/>
    <n v="1"/>
    <d v="2026-03-09T19:39:36"/>
    <n v="3"/>
    <x v="1"/>
    <s v="user156@example.com"/>
  </r>
  <r>
    <x v="71"/>
    <s v="SamWilson"/>
    <s v="Sam"/>
    <s v="Wilson"/>
    <s v="SamWilson"/>
    <x v="1"/>
    <s v="India"/>
    <n v="99621"/>
    <d v="2016-08-07T00:00:00"/>
    <n v="9"/>
    <n v="2016"/>
    <n v="8"/>
    <n v="1"/>
    <d v="2026-03-09T19:39:36"/>
    <n v="3"/>
    <x v="3"/>
    <s v="user145@example.com"/>
  </r>
  <r>
    <x v="72"/>
    <s v="ChrisLee"/>
    <s v="Chris"/>
    <s v="Lee"/>
    <s v="ChrisLee"/>
    <x v="0"/>
    <s v="Unknown"/>
    <n v="63434"/>
    <d v="2016-09-11T00:00:00"/>
    <n v="9"/>
    <n v="2016"/>
    <n v="9"/>
    <n v="1"/>
    <d v="2026-03-09T19:39:36"/>
    <n v="3"/>
    <x v="2"/>
    <s v="user48@example.com"/>
  </r>
  <r>
    <x v="73"/>
    <s v="JaneSmith"/>
    <s v="Jane"/>
    <s v="Smith"/>
    <s v="JaneSmith"/>
    <x v="2"/>
    <s v="Australia"/>
    <n v="38830"/>
    <d v="2016-09-18T00:00:00"/>
    <n v="9"/>
    <n v="2016"/>
    <n v="9"/>
    <n v="1"/>
    <d v="2026-03-09T19:39:36"/>
    <n v="3"/>
    <x v="3"/>
    <s v="user149@example.com"/>
  </r>
  <r>
    <x v="74"/>
    <s v="Unknown"/>
    <s v="Unknown"/>
    <s v="Unknown"/>
    <s v="Unknown"/>
    <x v="4"/>
    <s v="UK"/>
    <n v="50741"/>
    <d v="2016-09-25T00:00:00"/>
    <n v="9"/>
    <n v="2016"/>
    <n v="9"/>
    <n v="1"/>
    <d v="2026-03-09T19:39:36"/>
    <n v="3"/>
    <x v="2"/>
    <s v="user65@example.com"/>
  </r>
  <r>
    <x v="75"/>
    <s v="BobJohnson"/>
    <s v="Bob"/>
    <s v="Johnson"/>
    <s v="BobJohnson"/>
    <x v="0"/>
    <s v="India"/>
    <n v="33264"/>
    <d v="2016-10-23T00:00:00"/>
    <n v="9"/>
    <n v="2016"/>
    <n v="10"/>
    <n v="1"/>
    <d v="2026-03-09T19:39:36"/>
    <n v="3"/>
    <x v="1"/>
    <s v="user148@example.com"/>
  </r>
  <r>
    <x v="76"/>
    <s v="AliceBrown"/>
    <s v="Alice"/>
    <s v="Brown"/>
    <s v="AliceBrown"/>
    <x v="3"/>
    <s v="Australia"/>
    <n v="96101"/>
    <d v="2016-10-30T00:00:00"/>
    <n v="9"/>
    <n v="2016"/>
    <n v="10"/>
    <n v="1"/>
    <d v="2026-03-09T19:39:36"/>
    <n v="3"/>
    <x v="3"/>
    <s v="user155@example.com"/>
  </r>
  <r>
    <x v="77"/>
    <s v="JaneSmith"/>
    <s v="Jane"/>
    <s v="Smith"/>
    <s v="JaneSmith"/>
    <x v="3"/>
    <s v="USA"/>
    <n v="72939"/>
    <d v="2016-11-06T00:00:00"/>
    <n v="9"/>
    <n v="2016"/>
    <n v="11"/>
    <n v="1"/>
    <d v="2026-03-09T19:39:36"/>
    <n v="3"/>
    <x v="2"/>
    <s v="user191@example.com"/>
  </r>
  <r>
    <x v="78"/>
    <s v="BobJohnson"/>
    <s v="Bob"/>
    <s v="Johnson"/>
    <s v="BobJohnson"/>
    <x v="0"/>
    <s v="Australia"/>
    <n v="70470"/>
    <d v="2016-11-20T00:00:00"/>
    <n v="9"/>
    <n v="2016"/>
    <n v="11"/>
    <n v="1"/>
    <d v="2026-03-09T19:39:36"/>
    <n v="3"/>
    <x v="0"/>
    <s v="user62@example.com"/>
  </r>
  <r>
    <x v="79"/>
    <s v="BobJohnson"/>
    <s v="Bob"/>
    <s v="Johnson"/>
    <s v="BobJohnson"/>
    <x v="0"/>
    <s v="Germany"/>
    <n v="66503"/>
    <d v="2016-12-11T00:00:00"/>
    <n v="9"/>
    <n v="2016"/>
    <n v="12"/>
    <n v="1"/>
    <d v="2026-03-09T19:39:36"/>
    <n v="3"/>
    <x v="0"/>
    <s v="user200@example.com"/>
  </r>
  <r>
    <x v="80"/>
    <s v="AliceBrown"/>
    <s v="Alice"/>
    <s v="Brown"/>
    <s v="AliceBrown"/>
    <x v="5"/>
    <s v="Germany"/>
    <n v="42096"/>
    <d v="2016-12-18T00:00:00"/>
    <n v="9"/>
    <n v="2016"/>
    <n v="12"/>
    <n v="1"/>
    <d v="2026-03-09T19:39:36"/>
    <n v="3"/>
    <x v="1"/>
    <s v="user54@example.com"/>
  </r>
  <r>
    <x v="81"/>
    <s v="Unknown"/>
    <s v="Unknown"/>
    <s v="Unknown"/>
    <s v="Unknown"/>
    <x v="5"/>
    <s v="UK"/>
    <n v="87963"/>
    <d v="2017-01-08T00:00:00"/>
    <n v="9"/>
    <n v="2017"/>
    <n v="1"/>
    <n v="1"/>
    <d v="2026-03-09T19:39:36"/>
    <n v="3"/>
    <x v="3"/>
    <s v="Unknown"/>
  </r>
  <r>
    <x v="82"/>
    <s v="EveAdams"/>
    <s v="Eve"/>
    <s v="Adams"/>
    <s v="EveAdams"/>
    <x v="0"/>
    <s v="Unknown"/>
    <n v="48325"/>
    <d v="2017-01-15T00:00:00"/>
    <n v="9"/>
    <n v="2017"/>
    <n v="1"/>
    <n v="1"/>
    <d v="2026-03-09T19:39:36"/>
    <n v="3"/>
    <x v="0"/>
    <s v="user189@example.com"/>
  </r>
  <r>
    <x v="83"/>
    <s v="EveAdams"/>
    <s v="Eve"/>
    <s v="Adams"/>
    <s v="EveAdams"/>
    <x v="3"/>
    <s v="India"/>
    <n v="78330"/>
    <d v="2017-02-26T00:00:00"/>
    <n v="9"/>
    <n v="2017"/>
    <n v="2"/>
    <n v="1"/>
    <d v="2026-03-09T19:39:36"/>
    <n v="3"/>
    <x v="3"/>
    <s v="user76@example.com"/>
  </r>
  <r>
    <x v="84"/>
    <s v="ChrisLee"/>
    <s v="Chris"/>
    <s v="Lee"/>
    <s v="ChrisLee"/>
    <x v="1"/>
    <s v="India"/>
    <n v="95032"/>
    <d v="2017-04-09T00:00:00"/>
    <n v="8"/>
    <n v="2017"/>
    <n v="4"/>
    <n v="1"/>
    <d v="2026-03-09T19:39:36"/>
    <n v="3"/>
    <x v="2"/>
    <s v="user23@example.com"/>
  </r>
  <r>
    <x v="85"/>
    <s v="EveAdams"/>
    <s v="Eve"/>
    <s v="Adams"/>
    <s v="EveAdams"/>
    <x v="1"/>
    <s v="Australia"/>
    <n v="44358"/>
    <d v="2017-04-16T00:00:00"/>
    <n v="8"/>
    <n v="2017"/>
    <n v="4"/>
    <n v="1"/>
    <d v="2026-03-09T19:39:36"/>
    <n v="3"/>
    <x v="1"/>
    <s v="user200@example.com"/>
  </r>
  <r>
    <x v="86"/>
    <s v="BobJohnson"/>
    <s v="Bob"/>
    <s v="Johnson"/>
    <s v="BobJohnson"/>
    <x v="1"/>
    <s v="Germany"/>
    <n v="52036"/>
    <d v="2017-05-07T00:00:00"/>
    <n v="8"/>
    <n v="2017"/>
    <n v="5"/>
    <n v="1"/>
    <d v="2026-03-09T19:39:36"/>
    <n v="3"/>
    <x v="0"/>
    <s v="user171@example.com"/>
  </r>
  <r>
    <x v="87"/>
    <s v="BobJohnson"/>
    <s v="Bob"/>
    <s v="Johnson"/>
    <s v="BobJohnson"/>
    <x v="2"/>
    <s v="Germany"/>
    <n v="71494"/>
    <d v="2017-06-04T00:00:00"/>
    <n v="8"/>
    <n v="2017"/>
    <n v="6"/>
    <n v="1"/>
    <d v="2026-03-09T19:39:36"/>
    <n v="3"/>
    <x v="0"/>
    <s v="user100@example.com"/>
  </r>
  <r>
    <x v="88"/>
    <s v="BobJohnson"/>
    <s v="Bob"/>
    <s v="Johnson"/>
    <s v="BobJohnson"/>
    <x v="2"/>
    <s v="UK"/>
    <n v="62994"/>
    <d v="2017-06-25T00:00:00"/>
    <n v="8"/>
    <n v="2017"/>
    <n v="6"/>
    <n v="1"/>
    <d v="2026-03-09T19:39:36"/>
    <n v="3"/>
    <x v="2"/>
    <s v="user175@example.com"/>
  </r>
  <r>
    <x v="89"/>
    <s v="AliceBrown"/>
    <s v="Alice"/>
    <s v="Brown"/>
    <s v="AliceBrown"/>
    <x v="1"/>
    <s v="India"/>
    <n v="48289"/>
    <s v="Unknown"/>
    <s v="Unknown"/>
    <s v="Unknown"/>
    <s v="Unknown"/>
    <s v="Unknown"/>
    <d v="2026-03-09T19:39:36"/>
    <n v="3"/>
    <x v="0"/>
    <s v="user25@example.com"/>
  </r>
  <r>
    <x v="90"/>
    <s v="SamWilson"/>
    <s v="Sam"/>
    <s v="Wilson"/>
    <s v="SamWilson"/>
    <x v="4"/>
    <s v="Germany"/>
    <n v="34402"/>
    <d v="2017-07-09T00:00:00"/>
    <n v="8"/>
    <n v="2017"/>
    <n v="7"/>
    <n v="1"/>
    <d v="2026-03-09T19:39:36"/>
    <n v="3"/>
    <x v="3"/>
    <s v="user42@example.com"/>
  </r>
  <r>
    <x v="91"/>
    <s v="EveAdams"/>
    <s v="Eve"/>
    <s v="Adams"/>
    <s v="EveAdams"/>
    <x v="5"/>
    <s v="USA"/>
    <n v="38678"/>
    <d v="2017-07-16T00:00:00"/>
    <n v="8"/>
    <n v="2017"/>
    <n v="7"/>
    <n v="1"/>
    <d v="2026-03-09T19:39:36"/>
    <n v="3"/>
    <x v="3"/>
    <s v="user188@example.com"/>
  </r>
  <r>
    <x v="92"/>
    <s v="ChrisLee"/>
    <s v="Chris"/>
    <s v="Lee"/>
    <s v="ChrisLee"/>
    <x v="5"/>
    <s v="Germany"/>
    <n v="45758"/>
    <d v="2017-07-23T00:00:00"/>
    <n v="8"/>
    <n v="2017"/>
    <n v="7"/>
    <n v="1"/>
    <d v="2026-03-09T19:39:36"/>
    <n v="3"/>
    <x v="2"/>
    <s v="user44@example.com"/>
  </r>
  <r>
    <x v="93"/>
    <s v="Unknown"/>
    <s v="Unknown"/>
    <s v="Unknown"/>
    <s v="Unknown"/>
    <x v="0"/>
    <s v="UK"/>
    <n v="39280"/>
    <d v="2017-08-06T00:00:00"/>
    <n v="8"/>
    <n v="2017"/>
    <n v="8"/>
    <n v="1"/>
    <d v="2026-03-09T19:39:36"/>
    <n v="3"/>
    <x v="1"/>
    <s v="user198@example.com"/>
  </r>
  <r>
    <x v="94"/>
    <s v="ChrisLee"/>
    <s v="Chris"/>
    <s v="Lee"/>
    <s v="ChrisLee"/>
    <x v="5"/>
    <s v="Germany"/>
    <n v="84968"/>
    <d v="2017-08-20T00:00:00"/>
    <n v="8"/>
    <n v="2017"/>
    <n v="8"/>
    <n v="1"/>
    <d v="2026-03-09T19:39:36"/>
    <n v="3"/>
    <x v="2"/>
    <s v="user165@example.com"/>
  </r>
  <r>
    <x v="95"/>
    <s v="AliceBrown"/>
    <s v="Alice"/>
    <s v="Brown"/>
    <s v="AliceBrown"/>
    <x v="4"/>
    <s v="Unknown"/>
    <n v="86775"/>
    <d v="2017-09-24T00:00:00"/>
    <n v="8"/>
    <n v="2017"/>
    <n v="9"/>
    <n v="1"/>
    <d v="2026-03-09T19:39:36"/>
    <n v="3"/>
    <x v="3"/>
    <s v="user190@example.com"/>
  </r>
  <r>
    <x v="96"/>
    <s v="ChrisLee"/>
    <s v="Chris"/>
    <s v="Lee"/>
    <s v="ChrisLee"/>
    <x v="1"/>
    <s v="UK"/>
    <n v="91620"/>
    <d v="2017-10-01T00:00:00"/>
    <n v="8"/>
    <n v="2017"/>
    <n v="10"/>
    <n v="1"/>
    <d v="2026-03-09T19:39:36"/>
    <n v="3"/>
    <x v="2"/>
    <s v="user114@example.com"/>
  </r>
  <r>
    <x v="97"/>
    <s v="Unknown"/>
    <s v="Unknown"/>
    <s v="Unknown"/>
    <s v="Unknown"/>
    <x v="3"/>
    <s v="Unknown"/>
    <n v="66281"/>
    <s v="Unknown"/>
    <s v="Unknown"/>
    <s v="Unknown"/>
    <s v="Unknown"/>
    <s v="Unknown"/>
    <d v="2026-03-09T19:39:36"/>
    <n v="2"/>
    <x v="2"/>
    <s v="Unknown"/>
  </r>
  <r>
    <x v="98"/>
    <s v="AliceBrown"/>
    <s v="Alice"/>
    <s v="Brown"/>
    <s v="AliceBrown"/>
    <x v="3"/>
    <s v="Germany"/>
    <n v="63184"/>
    <d v="2015-01-18T00:00:00"/>
    <n v="11"/>
    <n v="2015"/>
    <n v="1"/>
    <n v="1"/>
    <d v="2026-03-09T19:39:36"/>
    <n v="2"/>
    <x v="2"/>
    <s v="user176@example.com"/>
  </r>
  <r>
    <x v="99"/>
    <s v="AliceBrown"/>
    <s v="Alice"/>
    <s v="Brown"/>
    <s v="AliceBrown"/>
    <x v="0"/>
    <s v="India"/>
    <n v="78421"/>
    <d v="2015-02-08T00:00:00"/>
    <n v="11"/>
    <n v="2015"/>
    <n v="2"/>
    <n v="1"/>
    <d v="2026-03-09T19:39:36"/>
    <n v="2"/>
    <x v="1"/>
    <s v="user24@example.com"/>
  </r>
  <r>
    <x v="100"/>
    <s v="ChrisLee"/>
    <s v="Chris"/>
    <s v="Lee"/>
    <s v="ChrisLee"/>
    <x v="4"/>
    <s v="Unknown"/>
    <n v="35364"/>
    <d v="2015-02-22T00:00:00"/>
    <n v="11"/>
    <n v="2015"/>
    <n v="2"/>
    <n v="1"/>
    <d v="2026-03-09T19:39:36"/>
    <n v="2"/>
    <x v="3"/>
    <s v="user26@example.com"/>
  </r>
  <r>
    <x v="101"/>
    <s v="JaneSmith"/>
    <s v="Jane"/>
    <s v="Smith"/>
    <s v="JaneSmith"/>
    <x v="5"/>
    <s v="Unknown"/>
    <n v="59894"/>
    <d v="2015-04-12T00:00:00"/>
    <n v="10"/>
    <n v="2015"/>
    <n v="4"/>
    <n v="1"/>
    <d v="2026-03-09T19:39:36"/>
    <n v="2"/>
    <x v="0"/>
    <s v="user184@example.com"/>
  </r>
  <r>
    <x v="102"/>
    <s v="JaneSmith"/>
    <s v="Jane"/>
    <s v="Smith"/>
    <s v="JaneSmith"/>
    <x v="5"/>
    <s v="USA"/>
    <n v="66281"/>
    <d v="2015-05-24T00:00:00"/>
    <n v="10"/>
    <n v="2015"/>
    <n v="5"/>
    <n v="1"/>
    <d v="2026-03-09T19:39:36"/>
    <n v="2"/>
    <x v="3"/>
    <s v="user200@example.com"/>
  </r>
  <r>
    <x v="103"/>
    <s v="EveAdams"/>
    <s v="Eve"/>
    <s v="Adams"/>
    <s v="EveAdams"/>
    <x v="1"/>
    <s v="Germany"/>
    <n v="76518"/>
    <d v="2015-07-05T00:00:00"/>
    <n v="10"/>
    <n v="2015"/>
    <n v="7"/>
    <n v="1"/>
    <d v="2026-03-09T19:39:36"/>
    <n v="2"/>
    <x v="1"/>
    <s v="user68@example.com"/>
  </r>
  <r>
    <x v="104"/>
    <s v="JohnDoe"/>
    <s v="John"/>
    <s v="Doe"/>
    <s v="JohnDoe"/>
    <x v="5"/>
    <s v="UK"/>
    <n v="49282"/>
    <d v="2015-07-19T00:00:00"/>
    <n v="10"/>
    <n v="2015"/>
    <n v="7"/>
    <n v="1"/>
    <d v="2026-03-09T19:39:36"/>
    <n v="2"/>
    <x v="1"/>
    <s v="user135@example.com"/>
  </r>
  <r>
    <x v="105"/>
    <s v="JohnDoe"/>
    <s v="John"/>
    <s v="Doe"/>
    <s v="JohnDoe"/>
    <x v="3"/>
    <s v="Unknown"/>
    <n v="66513"/>
    <d v="2015-12-06T00:00:00"/>
    <n v="10"/>
    <n v="2015"/>
    <n v="12"/>
    <n v="1"/>
    <d v="2026-03-09T19:39:36"/>
    <n v="2"/>
    <x v="3"/>
    <s v="user24@example.com"/>
  </r>
  <r>
    <x v="106"/>
    <s v="ChrisLee"/>
    <s v="Chris"/>
    <s v="Lee"/>
    <s v="ChrisLee"/>
    <x v="2"/>
    <s v="Unknown"/>
    <n v="30686"/>
    <s v="Unknown"/>
    <s v="Unknown"/>
    <s v="Unknown"/>
    <s v="Unknown"/>
    <s v="Unknown"/>
    <d v="2026-03-09T19:39:36"/>
    <n v="2"/>
    <x v="1"/>
    <s v="user95@example.com"/>
  </r>
  <r>
    <x v="107"/>
    <s v="EveAdams"/>
    <s v="Eve"/>
    <s v="Adams"/>
    <s v="EveAdams"/>
    <x v="2"/>
    <s v="Australia"/>
    <n v="31499"/>
    <d v="2016-03-06T00:00:00"/>
    <n v="10"/>
    <n v="2016"/>
    <n v="3"/>
    <n v="1"/>
    <d v="2026-03-09T19:39:36"/>
    <n v="2"/>
    <x v="2"/>
    <s v="user31@example.com"/>
  </r>
  <r>
    <x v="108"/>
    <s v="EveAdams"/>
    <s v="Eve"/>
    <s v="Adams"/>
    <s v="EveAdams"/>
    <x v="5"/>
    <s v="USA"/>
    <n v="36541"/>
    <d v="2016-03-20T00:00:00"/>
    <n v="9"/>
    <n v="2016"/>
    <n v="3"/>
    <n v="1"/>
    <d v="2026-03-09T19:39:36"/>
    <n v="2"/>
    <x v="3"/>
    <s v="user97@example.com"/>
  </r>
  <r>
    <x v="109"/>
    <s v="SamWilson"/>
    <s v="Sam"/>
    <s v="Wilson"/>
    <s v="SamWilson"/>
    <x v="3"/>
    <s v="UK"/>
    <n v="41467"/>
    <d v="2016-04-24T00:00:00"/>
    <n v="9"/>
    <n v="2016"/>
    <n v="4"/>
    <n v="1"/>
    <d v="2026-03-09T19:39:36"/>
    <n v="2"/>
    <x v="2"/>
    <s v="user77@example.com"/>
  </r>
  <r>
    <x v="110"/>
    <s v="SamWilson"/>
    <s v="Sam"/>
    <s v="Wilson"/>
    <s v="SamWilson"/>
    <x v="2"/>
    <s v="UK"/>
    <n v="78245"/>
    <d v="2016-07-03T00:00:00"/>
    <n v="9"/>
    <n v="2016"/>
    <n v="7"/>
    <n v="1"/>
    <d v="2026-03-09T19:39:36"/>
    <n v="2"/>
    <x v="2"/>
    <s v="user46@example.com"/>
  </r>
  <r>
    <x v="111"/>
    <s v="ChrisLee"/>
    <s v="Chris"/>
    <s v="Lee"/>
    <s v="ChrisLee"/>
    <x v="1"/>
    <s v="USA"/>
    <n v="66079"/>
    <d v="2016-07-10T00:00:00"/>
    <n v="9"/>
    <n v="2016"/>
    <n v="7"/>
    <n v="1"/>
    <d v="2026-03-09T19:39:36"/>
    <n v="2"/>
    <x v="3"/>
    <s v="user55@example.com"/>
  </r>
  <r>
    <x v="112"/>
    <s v="BobJohnson"/>
    <s v="Bob"/>
    <s v="Johnson"/>
    <s v="BobJohnson"/>
    <x v="4"/>
    <s v="Unknown"/>
    <n v="66281"/>
    <d v="2016-12-04T00:00:00"/>
    <n v="9"/>
    <n v="2016"/>
    <n v="12"/>
    <n v="1"/>
    <d v="2026-03-09T19:39:36"/>
    <n v="2"/>
    <x v="3"/>
    <s v="user40@example.com"/>
  </r>
  <r>
    <x v="113"/>
    <s v="SamWilson"/>
    <s v="Sam"/>
    <s v="Wilson"/>
    <s v="SamWilson"/>
    <x v="4"/>
    <s v="Australia"/>
    <n v="86412"/>
    <d v="2017-01-22T00:00:00"/>
    <n v="9"/>
    <n v="2017"/>
    <n v="1"/>
    <n v="1"/>
    <d v="2026-03-09T19:39:36"/>
    <n v="2"/>
    <x v="1"/>
    <s v="user128@example.com"/>
  </r>
  <r>
    <x v="114"/>
    <s v="ChrisLee"/>
    <s v="Chris"/>
    <s v="Lee"/>
    <s v="ChrisLee"/>
    <x v="1"/>
    <s v="India"/>
    <n v="31293"/>
    <s v="Unknown"/>
    <s v="Unknown"/>
    <s v="Unknown"/>
    <s v="Unknown"/>
    <s v="Unknown"/>
    <d v="2026-03-09T19:39:36"/>
    <n v="2"/>
    <x v="1"/>
    <s v="user44@example.com"/>
  </r>
  <r>
    <x v="115"/>
    <s v="ChrisLee"/>
    <s v="Chris"/>
    <s v="Lee"/>
    <s v="ChrisLee"/>
    <x v="1"/>
    <s v="USA"/>
    <n v="45676"/>
    <d v="2017-04-30T00:00:00"/>
    <n v="8"/>
    <n v="2017"/>
    <n v="4"/>
    <n v="1"/>
    <d v="2026-03-09T19:39:36"/>
    <n v="2"/>
    <x v="2"/>
    <s v="user132@example.com"/>
  </r>
  <r>
    <x v="116"/>
    <s v="JohnDoe"/>
    <s v="John"/>
    <s v="Doe"/>
    <s v="JohnDoe"/>
    <x v="3"/>
    <s v="USA"/>
    <n v="91953"/>
    <d v="2017-06-11T00:00:00"/>
    <n v="8"/>
    <n v="2017"/>
    <n v="6"/>
    <n v="1"/>
    <d v="2026-03-09T19:39:36"/>
    <n v="2"/>
    <x v="0"/>
    <s v="user83@example.com"/>
  </r>
  <r>
    <x v="117"/>
    <s v="BobJohnson"/>
    <s v="Bob"/>
    <s v="Johnson"/>
    <s v="BobJohnson"/>
    <x v="0"/>
    <s v="Unknown"/>
    <n v="73348"/>
    <d v="2017-09-03T00:00:00"/>
    <n v="8"/>
    <n v="2017"/>
    <n v="9"/>
    <n v="1"/>
    <d v="2026-03-09T19:39:36"/>
    <n v="2"/>
    <x v="2"/>
    <s v="user22@example.com"/>
  </r>
  <r>
    <x v="118"/>
    <s v="EveAdams"/>
    <s v="Eve"/>
    <s v="Adams"/>
    <s v="EveAdams"/>
    <x v="2"/>
    <s v="Unknown"/>
    <n v="94148"/>
    <d v="2017-10-08T00:00:00"/>
    <n v="8"/>
    <n v="2017"/>
    <n v="10"/>
    <n v="1"/>
    <d v="2026-03-09T19:39:36"/>
    <n v="2"/>
    <x v="2"/>
    <s v="user53@example.com"/>
  </r>
  <r>
    <x v="119"/>
    <s v="JohnDoe"/>
    <s v="John"/>
    <s v="Doe"/>
    <s v="JohnDoe"/>
    <x v="4"/>
    <s v="USA"/>
    <n v="57141"/>
    <d v="2017-10-22T00:00:00"/>
    <n v="8"/>
    <n v="2017"/>
    <n v="10"/>
    <n v="1"/>
    <d v="2026-03-09T19:39:36"/>
    <n v="2"/>
    <x v="2"/>
    <s v="user165@example.com"/>
  </r>
  <r>
    <x v="120"/>
    <s v="EveAdams"/>
    <s v="Eve"/>
    <s v="Adams"/>
    <s v="EveAdams"/>
    <x v="5"/>
    <s v="Germany"/>
    <n v="54255"/>
    <d v="2015-01-11T00:00:00"/>
    <n v="11"/>
    <n v="2015"/>
    <n v="1"/>
    <n v="1"/>
    <d v="2026-03-09T19:39:36"/>
    <n v="1"/>
    <x v="3"/>
    <s v="user106@example.com"/>
  </r>
  <r>
    <x v="121"/>
    <s v="JohnDoe"/>
    <s v="John"/>
    <s v="Doe"/>
    <s v="JohnDoe"/>
    <x v="1"/>
    <s v="USA"/>
    <n v="94406"/>
    <d v="2015-01-25T00:00:00"/>
    <n v="11"/>
    <n v="2015"/>
    <n v="1"/>
    <n v="1"/>
    <d v="2026-03-09T19:39:36"/>
    <n v="1"/>
    <x v="0"/>
    <s v="user168@example.com"/>
  </r>
  <r>
    <x v="122"/>
    <s v="JaneSmith"/>
    <s v="Jane"/>
    <s v="Smith"/>
    <s v="JaneSmith"/>
    <x v="1"/>
    <s v="Germany"/>
    <n v="64120"/>
    <d v="2015-02-01T00:00:00"/>
    <n v="11"/>
    <n v="2015"/>
    <n v="2"/>
    <n v="1"/>
    <d v="2026-03-09T19:39:36"/>
    <n v="1"/>
    <x v="0"/>
    <s v="user49@example.com"/>
  </r>
  <r>
    <x v="123"/>
    <s v="SamWilson"/>
    <s v="Sam"/>
    <s v="Wilson"/>
    <s v="SamWilson"/>
    <x v="3"/>
    <s v="UK"/>
    <n v="64247"/>
    <d v="2015-03-15T00:00:00"/>
    <n v="10"/>
    <n v="2015"/>
    <n v="3"/>
    <n v="1"/>
    <d v="2026-03-09T19:39:36"/>
    <n v="1"/>
    <x v="1"/>
    <s v="user18@example.com"/>
  </r>
  <r>
    <x v="124"/>
    <s v="JaneSmith"/>
    <s v="Jane"/>
    <s v="Smith"/>
    <s v="JaneSmith"/>
    <x v="3"/>
    <s v="Australia"/>
    <n v="41341"/>
    <d v="2015-05-03T00:00:00"/>
    <n v="10"/>
    <n v="2015"/>
    <n v="5"/>
    <n v="1"/>
    <d v="2026-03-09T19:39:36"/>
    <n v="1"/>
    <x v="3"/>
    <s v="user38@example.com"/>
  </r>
  <r>
    <x v="125"/>
    <s v="SamWilson"/>
    <s v="Sam"/>
    <s v="Wilson"/>
    <s v="SamWilson"/>
    <x v="3"/>
    <s v="Unknown"/>
    <n v="91005"/>
    <d v="2015-06-21T00:00:00"/>
    <n v="10"/>
    <n v="2015"/>
    <n v="6"/>
    <n v="1"/>
    <d v="2026-03-09T19:39:36"/>
    <n v="1"/>
    <x v="3"/>
    <s v="user122@example.com"/>
  </r>
  <r>
    <x v="126"/>
    <s v="Unknown"/>
    <s v="Unknown"/>
    <s v="Unknown"/>
    <s v="Unknown"/>
    <x v="4"/>
    <s v="Unknown"/>
    <n v="92259"/>
    <s v="Unknown"/>
    <s v="Unknown"/>
    <s v="Unknown"/>
    <s v="Unknown"/>
    <s v="Unknown"/>
    <d v="2026-03-09T19:39:36"/>
    <n v="1"/>
    <x v="2"/>
    <s v="user109@example.com"/>
  </r>
  <r>
    <x v="127"/>
    <s v="BobJohnson"/>
    <s v="Bob"/>
    <s v="Johnson"/>
    <s v="BobJohnson"/>
    <x v="2"/>
    <s v="Australia"/>
    <n v="64913"/>
    <d v="2015-10-25T00:00:00"/>
    <n v="10"/>
    <n v="2015"/>
    <n v="10"/>
    <n v="1"/>
    <d v="2026-03-09T19:39:36"/>
    <n v="1"/>
    <x v="1"/>
    <s v="user175@example.com"/>
  </r>
  <r>
    <x v="128"/>
    <s v="ChrisLee"/>
    <s v="Chris"/>
    <s v="Lee"/>
    <s v="ChrisLee"/>
    <x v="3"/>
    <s v="Unknown"/>
    <n v="81610"/>
    <d v="2015-11-08T00:00:00"/>
    <n v="10"/>
    <n v="2015"/>
    <n v="11"/>
    <n v="1"/>
    <d v="2026-03-09T19:39:36"/>
    <n v="1"/>
    <x v="2"/>
    <s v="user20@example.com"/>
  </r>
  <r>
    <x v="129"/>
    <s v="EveAdams"/>
    <s v="Eve"/>
    <s v="Adams"/>
    <s v="EveAdams"/>
    <x v="4"/>
    <s v="Unknown"/>
    <n v="30280"/>
    <d v="2016-01-03T00:00:00"/>
    <n v="10"/>
    <n v="2016"/>
    <n v="1"/>
    <n v="1"/>
    <d v="2026-03-09T19:39:36"/>
    <n v="1"/>
    <x v="2"/>
    <s v="user152@example.com"/>
  </r>
  <r>
    <x v="130"/>
    <s v="JohnDoe"/>
    <s v="John"/>
    <s v="Doe"/>
    <s v="JohnDoe"/>
    <x v="1"/>
    <s v="Australia"/>
    <n v="60011"/>
    <d v="2016-01-31T00:00:00"/>
    <n v="10"/>
    <n v="2016"/>
    <n v="1"/>
    <n v="1"/>
    <d v="2026-03-09T19:39:36"/>
    <n v="1"/>
    <x v="0"/>
    <s v="user63@example.com"/>
  </r>
  <r>
    <x v="131"/>
    <s v="SamWilson"/>
    <s v="Sam"/>
    <s v="Wilson"/>
    <s v="SamWilson"/>
    <x v="3"/>
    <s v="USA"/>
    <n v="82033"/>
    <d v="2016-02-21T00:00:00"/>
    <n v="10"/>
    <n v="2016"/>
    <n v="2"/>
    <n v="1"/>
    <d v="2026-03-09T19:39:36"/>
    <n v="1"/>
    <x v="2"/>
    <s v="user20@example.com"/>
  </r>
  <r>
    <x v="132"/>
    <s v="JohnDoe"/>
    <s v="John"/>
    <s v="Doe"/>
    <s v="JohnDoe"/>
    <x v="0"/>
    <s v="India"/>
    <n v="84737"/>
    <d v="2016-03-27T00:00:00"/>
    <n v="9"/>
    <n v="2016"/>
    <n v="3"/>
    <n v="1"/>
    <d v="2026-03-09T19:39:36"/>
    <n v="1"/>
    <x v="0"/>
    <s v="user141@example.com"/>
  </r>
  <r>
    <x v="133"/>
    <s v="BobJohnson"/>
    <s v="Bob"/>
    <s v="Johnson"/>
    <s v="BobJohnson"/>
    <x v="3"/>
    <s v="India"/>
    <n v="77096"/>
    <d v="2016-05-01T00:00:00"/>
    <n v="9"/>
    <n v="2016"/>
    <n v="5"/>
    <n v="1"/>
    <d v="2026-03-09T19:39:36"/>
    <n v="1"/>
    <x v="2"/>
    <s v="user65@example.com"/>
  </r>
  <r>
    <x v="134"/>
    <s v="Unknown"/>
    <s v="Unknown"/>
    <s v="Unknown"/>
    <s v="Unknown"/>
    <x v="1"/>
    <s v="Unknown"/>
    <n v="96142"/>
    <d v="2016-06-12T00:00:00"/>
    <n v="9"/>
    <n v="2016"/>
    <n v="6"/>
    <n v="1"/>
    <d v="2026-03-09T19:39:36"/>
    <n v="1"/>
    <x v="3"/>
    <s v="user17@example.com"/>
  </r>
  <r>
    <x v="135"/>
    <s v="EveAdams"/>
    <s v="Eve"/>
    <s v="Adams"/>
    <s v="EveAdams"/>
    <x v="0"/>
    <s v="India"/>
    <n v="94301"/>
    <d v="2016-06-19T00:00:00"/>
    <n v="9"/>
    <n v="2016"/>
    <n v="6"/>
    <n v="1"/>
    <d v="2026-03-09T19:39:36"/>
    <n v="1"/>
    <x v="0"/>
    <s v="user20@example.com"/>
  </r>
  <r>
    <x v="136"/>
    <s v="JaneSmith"/>
    <s v="Jane"/>
    <s v="Smith"/>
    <s v="JaneSmith"/>
    <x v="2"/>
    <s v="UK"/>
    <n v="69166"/>
    <d v="2016-06-26T00:00:00"/>
    <n v="9"/>
    <n v="2016"/>
    <n v="6"/>
    <n v="1"/>
    <d v="2026-03-09T19:39:36"/>
    <n v="1"/>
    <x v="1"/>
    <s v="user22@example.com"/>
  </r>
  <r>
    <x v="137"/>
    <s v="EveAdams"/>
    <s v="Eve"/>
    <s v="Adams"/>
    <s v="EveAdams"/>
    <x v="0"/>
    <s v="UK"/>
    <n v="42262"/>
    <d v="2016-07-31T00:00:00"/>
    <n v="9"/>
    <n v="2016"/>
    <n v="7"/>
    <n v="1"/>
    <d v="2026-03-09T19:39:36"/>
    <n v="1"/>
    <x v="2"/>
    <s v="user104@example.com"/>
  </r>
  <r>
    <x v="138"/>
    <s v="AliceBrown"/>
    <s v="Alice"/>
    <s v="Brown"/>
    <s v="AliceBrown"/>
    <x v="5"/>
    <s v="Australia"/>
    <n v="69420"/>
    <d v="2016-10-02T00:00:00"/>
    <n v="9"/>
    <n v="2016"/>
    <n v="10"/>
    <n v="1"/>
    <d v="2026-03-09T19:39:36"/>
    <n v="1"/>
    <x v="0"/>
    <s v="user43@example.com"/>
  </r>
  <r>
    <x v="139"/>
    <s v="SamWilson"/>
    <s v="Sam"/>
    <s v="Wilson"/>
    <s v="SamWilson"/>
    <x v="5"/>
    <s v="Germany"/>
    <n v="89333"/>
    <d v="2016-11-13T00:00:00"/>
    <n v="9"/>
    <n v="2016"/>
    <n v="11"/>
    <n v="1"/>
    <d v="2026-03-09T19:39:36"/>
    <n v="1"/>
    <x v="0"/>
    <s v="user113@example.com"/>
  </r>
  <r>
    <x v="140"/>
    <s v="JaneSmith"/>
    <s v="Jane"/>
    <s v="Smith"/>
    <s v="JaneSmith"/>
    <x v="2"/>
    <s v="Australia"/>
    <n v="61556"/>
    <d v="2017-01-01T00:00:00"/>
    <n v="9"/>
    <n v="2017"/>
    <n v="1"/>
    <n v="1"/>
    <d v="2026-03-09T19:39:36"/>
    <n v="1"/>
    <x v="2"/>
    <s v="user40@example.com"/>
  </r>
  <r>
    <x v="141"/>
    <s v="SamWilson"/>
    <s v="Sam"/>
    <s v="Wilson"/>
    <s v="SamWilson"/>
    <x v="5"/>
    <s v="Unknown"/>
    <n v="66761"/>
    <d v="2017-01-29T00:00:00"/>
    <n v="9"/>
    <n v="2017"/>
    <n v="1"/>
    <n v="1"/>
    <d v="2026-03-09T19:39:36"/>
    <n v="1"/>
    <x v="2"/>
    <s v="user93@example.com"/>
  </r>
  <r>
    <x v="142"/>
    <s v="JaneSmith"/>
    <s v="Jane"/>
    <s v="Smith"/>
    <s v="JaneSmith"/>
    <x v="2"/>
    <s v="India"/>
    <n v="88850"/>
    <d v="2017-02-05T00:00:00"/>
    <n v="9"/>
    <n v="2017"/>
    <n v="2"/>
    <n v="1"/>
    <d v="2026-03-09T19:39:36"/>
    <n v="1"/>
    <x v="1"/>
    <s v="user174@example.com"/>
  </r>
  <r>
    <x v="143"/>
    <s v="AliceBrown"/>
    <s v="Alice"/>
    <s v="Brown"/>
    <s v="AliceBrown"/>
    <x v="0"/>
    <s v="USA"/>
    <n v="47653"/>
    <d v="2017-03-05T00:00:00"/>
    <n v="9"/>
    <n v="2017"/>
    <n v="3"/>
    <n v="1"/>
    <d v="2026-03-09T19:39:36"/>
    <n v="1"/>
    <x v="0"/>
    <s v="user82@example.com"/>
  </r>
  <r>
    <x v="144"/>
    <s v="BobJohnson"/>
    <s v="Bob"/>
    <s v="Johnson"/>
    <s v="BobJohnson"/>
    <x v="4"/>
    <s v="Unknown"/>
    <n v="73483"/>
    <d v="2017-04-02T00:00:00"/>
    <n v="8"/>
    <n v="2017"/>
    <n v="4"/>
    <n v="1"/>
    <d v="2026-03-09T19:39:36"/>
    <n v="1"/>
    <x v="2"/>
    <s v="user137@example.com"/>
  </r>
  <r>
    <x v="145"/>
    <s v="JohnDoe"/>
    <s v="John"/>
    <s v="Doe"/>
    <s v="JohnDoe"/>
    <x v="0"/>
    <s v="Unknown"/>
    <n v="60034"/>
    <d v="2017-05-21T00:00:00"/>
    <n v="8"/>
    <n v="2017"/>
    <n v="5"/>
    <n v="1"/>
    <d v="2026-03-09T19:39:36"/>
    <n v="1"/>
    <x v="1"/>
    <s v="user75@example.com"/>
  </r>
  <r>
    <x v="146"/>
    <s v="ChrisLee"/>
    <s v="Chris"/>
    <s v="Lee"/>
    <s v="ChrisLee"/>
    <x v="1"/>
    <s v="USA"/>
    <n v="30402"/>
    <d v="2017-06-18T00:00:00"/>
    <n v="8"/>
    <n v="2017"/>
    <n v="6"/>
    <n v="1"/>
    <d v="2026-03-09T19:39:36"/>
    <n v="1"/>
    <x v="2"/>
    <s v="user167@example.com"/>
  </r>
  <r>
    <x v="147"/>
    <s v="EveAdams"/>
    <s v="Eve"/>
    <s v="Adams"/>
    <s v="EveAdams"/>
    <x v="4"/>
    <s v="India"/>
    <n v="62476"/>
    <d v="2017-07-30T00:00:00"/>
    <n v="8"/>
    <n v="2017"/>
    <n v="7"/>
    <n v="1"/>
    <d v="2026-03-09T19:39:36"/>
    <n v="1"/>
    <x v="3"/>
    <s v="user63@example.com"/>
  </r>
  <r>
    <x v="148"/>
    <s v="BobJohnson"/>
    <s v="Bob"/>
    <s v="Johnson"/>
    <s v="BobJohnson"/>
    <x v="1"/>
    <s v="Australia"/>
    <n v="65270"/>
    <d v="2017-10-29T00:00:00"/>
    <n v="8"/>
    <n v="2017"/>
    <n v="10"/>
    <n v="1"/>
    <d v="2026-03-09T19:39:36"/>
    <n v="1"/>
    <x v="2"/>
    <s v="user163@example.com"/>
  </r>
  <r>
    <x v="149"/>
    <s v="BobJohnson"/>
    <s v="Bob"/>
    <s v="Johnson"/>
    <s v="BobJohnson"/>
    <x v="2"/>
    <s v="UK"/>
    <n v="67335"/>
    <d v="2017-11-05T00:00:00"/>
    <n v="8"/>
    <n v="2017"/>
    <n v="11"/>
    <n v="1"/>
    <d v="2026-03-09T19:39:36"/>
    <n v="1"/>
    <x v="3"/>
    <s v="user112@example.com"/>
  </r>
  <r>
    <x v="150"/>
    <m/>
    <m/>
    <m/>
    <m/>
    <x v="6"/>
    <m/>
    <m/>
    <m/>
    <m/>
    <m/>
    <m/>
    <m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361CF-429C-4772-9627-DC5F7DCF981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9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8">
        <item x="3"/>
        <item x="5"/>
        <item x="0"/>
        <item x="4"/>
        <item x="1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erformanceRating" fld="14" baseField="0" baseItem="0"/>
  </dataFields>
  <chartFormats count="2">
    <chartFormat chart="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BB369-1A4E-4AFF-ADED-C58075BAB4B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C10" firstHeaderRow="0" firstDataRow="1" firstDataCol="1"/>
  <pivotFields count="17">
    <pivotField dataField="1" showAll="0"/>
    <pivotField showAll="0"/>
    <pivotField showAll="0"/>
    <pivotField showAll="0"/>
    <pivotField showAll="0"/>
    <pivotField axis="axisRow" showAll="0">
      <items count="7">
        <item x="3"/>
        <item x="5"/>
        <item x="0"/>
        <item x="4"/>
        <item x="1"/>
        <item x="2"/>
        <item t="default"/>
      </items>
    </pivotField>
    <pivotField showAll="0"/>
    <pivotField dataField="1" numFmtId="165" showAll="0"/>
    <pivotField showAll="0"/>
    <pivotField showAll="0"/>
    <pivotField showAll="0"/>
    <pivotField showAll="0"/>
    <pivotField showAll="0"/>
    <pivotField numFmtId="22"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Salary" fld="7" subtotal="average" baseField="0" baseItem="0" numFmtId="165"/>
    <dataField name="Employee Count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EABFF-0F7C-43F7-80C1-50A828F2883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9" firstHeaderRow="1" firstDataRow="1" firstDataCol="1"/>
  <pivotFields count="17">
    <pivotField showAll="0">
      <items count="152">
        <item x="97"/>
        <item x="120"/>
        <item x="98"/>
        <item x="121"/>
        <item x="122"/>
        <item x="99"/>
        <item x="42"/>
        <item x="100"/>
        <item x="43"/>
        <item x="44"/>
        <item x="123"/>
        <item x="0"/>
        <item x="1"/>
        <item x="25"/>
        <item x="101"/>
        <item x="45"/>
        <item x="46"/>
        <item x="124"/>
        <item x="47"/>
        <item x="2"/>
        <item x="102"/>
        <item x="26"/>
        <item x="3"/>
        <item x="48"/>
        <item x="125"/>
        <item x="49"/>
        <item x="103"/>
        <item x="50"/>
        <item x="104"/>
        <item x="4"/>
        <item x="126"/>
        <item x="51"/>
        <item x="52"/>
        <item x="53"/>
        <item x="54"/>
        <item x="27"/>
        <item x="55"/>
        <item x="56"/>
        <item x="5"/>
        <item x="57"/>
        <item x="28"/>
        <item x="58"/>
        <item x="127"/>
        <item x="59"/>
        <item x="128"/>
        <item x="60"/>
        <item x="61"/>
        <item x="29"/>
        <item x="105"/>
        <item x="6"/>
        <item x="106"/>
        <item x="7"/>
        <item x="129"/>
        <item x="62"/>
        <item x="8"/>
        <item x="9"/>
        <item x="130"/>
        <item x="63"/>
        <item x="10"/>
        <item x="131"/>
        <item x="11"/>
        <item x="107"/>
        <item x="12"/>
        <item x="108"/>
        <item x="132"/>
        <item x="30"/>
        <item x="64"/>
        <item x="65"/>
        <item x="109"/>
        <item x="133"/>
        <item x="13"/>
        <item x="66"/>
        <item x="67"/>
        <item x="31"/>
        <item x="68"/>
        <item x="134"/>
        <item x="135"/>
        <item x="136"/>
        <item x="110"/>
        <item x="111"/>
        <item x="69"/>
        <item x="70"/>
        <item x="137"/>
        <item x="71"/>
        <item x="32"/>
        <item x="14"/>
        <item x="33"/>
        <item x="34"/>
        <item x="72"/>
        <item x="73"/>
        <item x="74"/>
        <item x="138"/>
        <item x="15"/>
        <item x="35"/>
        <item x="75"/>
        <item x="76"/>
        <item x="77"/>
        <item x="139"/>
        <item x="78"/>
        <item x="36"/>
        <item x="112"/>
        <item x="79"/>
        <item x="80"/>
        <item x="16"/>
        <item x="140"/>
        <item x="81"/>
        <item x="82"/>
        <item x="113"/>
        <item x="141"/>
        <item x="142"/>
        <item x="114"/>
        <item x="17"/>
        <item x="83"/>
        <item x="143"/>
        <item x="37"/>
        <item x="38"/>
        <item x="18"/>
        <item x="144"/>
        <item x="84"/>
        <item x="85"/>
        <item x="19"/>
        <item x="115"/>
        <item x="86"/>
        <item x="20"/>
        <item x="145"/>
        <item x="21"/>
        <item x="87"/>
        <item x="116"/>
        <item x="146"/>
        <item x="88"/>
        <item x="89"/>
        <item x="90"/>
        <item x="91"/>
        <item x="92"/>
        <item x="147"/>
        <item x="93"/>
        <item x="39"/>
        <item x="94"/>
        <item x="40"/>
        <item x="117"/>
        <item x="41"/>
        <item x="22"/>
        <item x="95"/>
        <item x="96"/>
        <item x="118"/>
        <item x="23"/>
        <item x="119"/>
        <item x="148"/>
        <item x="149"/>
        <item x="24"/>
        <item x="150"/>
        <item t="default"/>
      </items>
    </pivotField>
    <pivotField showAll="0"/>
    <pivotField showAll="0"/>
    <pivotField showAll="0"/>
    <pivotField showAll="0"/>
    <pivotField axis="axisRow" showAll="0">
      <items count="8">
        <item x="3"/>
        <item x="5"/>
        <item x="0"/>
        <item x="4"/>
        <item x="1"/>
        <item x="2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ary" fld="7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90171-9006-47C5-AE1A-0CAB8EE5E6D9}" name="Table1" displayName="Table1" ref="A1:Q151" totalsRowShown="0" headerRowDxfId="34">
  <autoFilter ref="A1:Q151" xr:uid="{06390171-9006-47C5-AE1A-0CAB8EE5E6D9}">
    <filterColumn colId="14">
      <top10 val="5" filterVal="5"/>
    </filterColumn>
  </autoFilter>
  <sortState xmlns:xlrd2="http://schemas.microsoft.com/office/spreadsheetml/2017/richdata2" ref="A2:Q151">
    <sortCondition descending="1" ref="O1:O151"/>
  </sortState>
  <tableColumns count="17">
    <tableColumn id="1" xr3:uid="{3288D37E-56E6-494F-A28E-9E1B7448D82E}" name="EmployeeID"/>
    <tableColumn id="2" xr3:uid="{284CED7A-6D0E-49E8-9359-E00C1B34FE7E}" name="Name"/>
    <tableColumn id="3" xr3:uid="{2E0B769D-D338-4CF3-9485-E679BA1FE216}" name="FirstName"/>
    <tableColumn id="4" xr3:uid="{07773267-4308-4890-9F3A-C97964ECC4B1}" name="LastName"/>
    <tableColumn id="5" xr3:uid="{65CEDD18-5ADE-4477-ACFF-B02547D70F4D}" name="CleanedName">
      <calculatedColumnFormula>TRIM(B2)</calculatedColumnFormula>
    </tableColumn>
    <tableColumn id="6" xr3:uid="{D2F105A2-D60F-46A3-8817-BE9ABB5D14AD}" name="Department"/>
    <tableColumn id="7" xr3:uid="{B50B6E98-7A9C-4ABF-BEA3-5CCA5FD3E4EE}" name="Country"/>
    <tableColumn id="8" xr3:uid="{83E0804B-8FF8-492E-B6D7-7D3BEEFFDCE2}" name="Salary" dataDxfId="33"/>
    <tableColumn id="9" xr3:uid="{76A0E1BD-D2D8-427B-8122-1DE76EAC7256}" name="Date" dataDxfId="32"/>
    <tableColumn id="13" xr3:uid="{717D2176-84C7-4749-B2DC-E819EBE0BB56}" name="Experience" dataDxfId="31">
      <calculatedColumnFormula>IF(I2="Unknown","Unknown",DATEDIF(I2,TODAY(),"Y"))</calculatedColumnFormula>
    </tableColumn>
    <tableColumn id="14" xr3:uid="{FAEA797C-BC57-4978-81D0-2F5888E29B54}" name="Joining Year" dataDxfId="30">
      <calculatedColumnFormula>IF(I2="Unknown","Unknown",YEAR(I2))</calculatedColumnFormula>
    </tableColumn>
    <tableColumn id="15" xr3:uid="{E88C14CB-2113-4E73-9A46-C5BB95E18C7B}" name="Joining month" dataDxfId="29">
      <calculatedColumnFormula>IF(I2="Unknown","Unknown",MONTH(I2))</calculatedColumnFormula>
    </tableColumn>
    <tableColumn id="16" xr3:uid="{6C85BC64-8A08-4C3D-8DB1-E2C41BD4730A}" name="Joining weekday" dataDxfId="28">
      <calculatedColumnFormula>IF(I2="Unknown","Unknown",WEEKDAY(I2))</calculatedColumnFormula>
    </tableColumn>
    <tableColumn id="17" xr3:uid="{4572286F-7CDE-455F-9D78-8C7272E45572}" name="Current_Date_Time" dataDxfId="27">
      <calculatedColumnFormula>NOW()</calculatedColumnFormula>
    </tableColumn>
    <tableColumn id="10" xr3:uid="{336BF85D-7B8B-4485-A324-CF8B70FCBA57}" name="PerformanceRating"/>
    <tableColumn id="11" xr3:uid="{0FE6B233-6FD1-420E-B29B-A9583D92FCC8}" name="Gender"/>
    <tableColumn id="12" xr3:uid="{3FB117F3-C9CC-405D-A8CE-EE6B43C92C4A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66" workbookViewId="0">
      <selection activeCell="F88" sqref="F1:F1048576"/>
    </sheetView>
  </sheetViews>
  <sheetFormatPr defaultRowHeight="14.5"/>
  <cols>
    <col min="1" max="1" width="11.26953125" bestFit="1" customWidth="1"/>
    <col min="2" max="2" width="11.453125" bestFit="1" customWidth="1"/>
    <col min="6" max="6" width="17.816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39DA6-DA9C-4E36-B934-B707957836F2}">
  <dimension ref="A1:B9"/>
  <sheetViews>
    <sheetView workbookViewId="0">
      <selection activeCell="E19" sqref="E19"/>
    </sheetView>
  </sheetViews>
  <sheetFormatPr defaultRowHeight="14.5"/>
  <cols>
    <col min="1" max="1" width="12.36328125" bestFit="1" customWidth="1"/>
    <col min="2" max="2" width="23.453125" bestFit="1" customWidth="1"/>
    <col min="3" max="3" width="17.81640625" bestFit="1" customWidth="1"/>
  </cols>
  <sheetData>
    <row r="1" spans="1:2">
      <c r="A1" s="28" t="s">
        <v>314</v>
      </c>
      <c r="B1" t="s">
        <v>321</v>
      </c>
    </row>
    <row r="2" spans="1:2">
      <c r="A2" s="29" t="s">
        <v>166</v>
      </c>
      <c r="B2" s="32">
        <v>58</v>
      </c>
    </row>
    <row r="3" spans="1:2">
      <c r="A3" s="29" t="s">
        <v>167</v>
      </c>
      <c r="B3" s="32">
        <v>66</v>
      </c>
    </row>
    <row r="4" spans="1:2">
      <c r="A4" s="29" t="s">
        <v>169</v>
      </c>
      <c r="B4" s="32">
        <v>74</v>
      </c>
    </row>
    <row r="5" spans="1:2">
      <c r="A5" s="29" t="s">
        <v>170</v>
      </c>
      <c r="B5" s="32">
        <v>97</v>
      </c>
    </row>
    <row r="6" spans="1:2">
      <c r="A6" s="29" t="s">
        <v>168</v>
      </c>
      <c r="B6" s="32">
        <v>72</v>
      </c>
    </row>
    <row r="7" spans="1:2">
      <c r="A7" s="29" t="s">
        <v>178</v>
      </c>
      <c r="B7" s="32">
        <v>67</v>
      </c>
    </row>
    <row r="8" spans="1:2">
      <c r="A8" s="29" t="s">
        <v>323</v>
      </c>
      <c r="B8" s="32"/>
    </row>
    <row r="9" spans="1:2">
      <c r="A9" s="29" t="s">
        <v>315</v>
      </c>
      <c r="B9" s="32">
        <v>434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EC67-44F4-428A-AA4A-24A70EE0E5BE}">
  <dimension ref="A1:Q151"/>
  <sheetViews>
    <sheetView topLeftCell="A11" workbookViewId="0">
      <selection activeCell="M157" sqref="A1:XFD1048576"/>
    </sheetView>
  </sheetViews>
  <sheetFormatPr defaultRowHeight="14.5"/>
  <cols>
    <col min="1" max="1" width="12.81640625" customWidth="1"/>
    <col min="2" max="3" width="11.453125" bestFit="1" customWidth="1"/>
    <col min="4" max="4" width="11.453125" customWidth="1"/>
    <col min="5" max="5" width="14.453125" customWidth="1"/>
    <col min="6" max="6" width="13.08984375" customWidth="1"/>
    <col min="7" max="7" width="9.54296875" customWidth="1"/>
    <col min="8" max="8" width="11.1796875" style="7" bestFit="1" customWidth="1"/>
    <col min="9" max="9" width="17.81640625" style="9" bestFit="1" customWidth="1"/>
    <col min="10" max="14" width="17.81640625" customWidth="1"/>
    <col min="15" max="15" width="18.90625" customWidth="1"/>
    <col min="16" max="16" width="9" customWidth="1"/>
    <col min="17" max="17" width="20.6328125" bestFit="1" customWidth="1"/>
  </cols>
  <sheetData>
    <row r="1" spans="1:17">
      <c r="A1" s="1" t="s">
        <v>295</v>
      </c>
      <c r="B1" s="1" t="s">
        <v>1</v>
      </c>
      <c r="C1" s="1" t="s">
        <v>296</v>
      </c>
      <c r="D1" t="s">
        <v>297</v>
      </c>
      <c r="E1" s="5" t="s">
        <v>298</v>
      </c>
      <c r="F1" s="1" t="s">
        <v>2</v>
      </c>
      <c r="G1" s="1" t="s">
        <v>3</v>
      </c>
      <c r="H1" s="6" t="s">
        <v>4</v>
      </c>
      <c r="I1" s="8" t="s">
        <v>307</v>
      </c>
      <c r="J1" s="1" t="s">
        <v>308</v>
      </c>
      <c r="K1" s="1" t="s">
        <v>309</v>
      </c>
      <c r="L1" s="1" t="s">
        <v>310</v>
      </c>
      <c r="M1" s="1" t="s">
        <v>312</v>
      </c>
      <c r="N1" s="1" t="s">
        <v>311</v>
      </c>
      <c r="O1" s="1" t="s">
        <v>299</v>
      </c>
      <c r="P1" s="1" t="s">
        <v>7</v>
      </c>
      <c r="Q1" s="1" t="s">
        <v>8</v>
      </c>
    </row>
    <row r="2" spans="1:17">
      <c r="A2" t="s">
        <v>20</v>
      </c>
      <c r="B2" t="s">
        <v>304</v>
      </c>
      <c r="C2" t="s">
        <v>285</v>
      </c>
      <c r="D2" t="s">
        <v>292</v>
      </c>
      <c r="E2" t="str">
        <f t="shared" ref="E2:E33" si="0">TRIM(B2)</f>
        <v>SamWilson</v>
      </c>
      <c r="F2" t="s">
        <v>169</v>
      </c>
      <c r="G2" t="s">
        <v>173</v>
      </c>
      <c r="H2" s="7">
        <v>91180</v>
      </c>
      <c r="I2" s="10">
        <v>42085</v>
      </c>
      <c r="J2">
        <f t="shared" ref="J2:J33" ca="1" si="1">IF(I2="Unknown","Unknown",DATEDIF(I2,TODAY(),"Y"))</f>
        <v>10</v>
      </c>
      <c r="K2">
        <f t="shared" ref="K2:K33" si="2">IF(I2="Unknown","Unknown",YEAR(I2))</f>
        <v>2015</v>
      </c>
      <c r="L2">
        <f t="shared" ref="L2:L33" si="3">IF(I2="Unknown","Unknown",MONTH(I2))</f>
        <v>3</v>
      </c>
      <c r="M2">
        <f t="shared" ref="M2:M33" si="4">IF(I2="Unknown","Unknown",WEEKDAY(I2))</f>
        <v>1</v>
      </c>
      <c r="N2" s="12">
        <f t="shared" ref="N2:N33" ca="1" si="5">NOW()</f>
        <v>46090.85657546296</v>
      </c>
      <c r="O2">
        <v>5</v>
      </c>
      <c r="P2" t="s">
        <v>180</v>
      </c>
      <c r="Q2" t="s">
        <v>192</v>
      </c>
    </row>
    <row r="3" spans="1:17">
      <c r="A3" t="s">
        <v>21</v>
      </c>
      <c r="B3" t="s">
        <v>306</v>
      </c>
      <c r="C3" t="s">
        <v>287</v>
      </c>
      <c r="D3" t="s">
        <v>294</v>
      </c>
      <c r="E3" t="str">
        <f t="shared" si="0"/>
        <v>BobJohnson</v>
      </c>
      <c r="F3" t="s">
        <v>168</v>
      </c>
      <c r="G3" s="3" t="s">
        <v>178</v>
      </c>
      <c r="H3" s="7">
        <v>96418</v>
      </c>
      <c r="I3" s="10">
        <v>42092</v>
      </c>
      <c r="J3">
        <f t="shared" ca="1" si="1"/>
        <v>10</v>
      </c>
      <c r="K3">
        <f t="shared" si="2"/>
        <v>2015</v>
      </c>
      <c r="L3">
        <f t="shared" si="3"/>
        <v>3</v>
      </c>
      <c r="M3">
        <f t="shared" si="4"/>
        <v>1</v>
      </c>
      <c r="N3" s="12">
        <f t="shared" ca="1" si="5"/>
        <v>46090.85657546296</v>
      </c>
      <c r="O3">
        <v>5</v>
      </c>
      <c r="P3" t="s">
        <v>180</v>
      </c>
      <c r="Q3" t="s">
        <v>183</v>
      </c>
    </row>
    <row r="4" spans="1:17">
      <c r="A4" t="s">
        <v>28</v>
      </c>
      <c r="B4" t="s">
        <v>300</v>
      </c>
      <c r="C4" t="s">
        <v>281</v>
      </c>
      <c r="D4" t="s">
        <v>288</v>
      </c>
      <c r="E4" t="str">
        <f t="shared" si="0"/>
        <v>EveAdams</v>
      </c>
      <c r="F4" t="s">
        <v>178</v>
      </c>
      <c r="G4" t="s">
        <v>174</v>
      </c>
      <c r="H4" s="7">
        <v>67531</v>
      </c>
      <c r="I4" s="10">
        <v>42141</v>
      </c>
      <c r="J4">
        <f t="shared" ca="1" si="1"/>
        <v>10</v>
      </c>
      <c r="K4">
        <f t="shared" si="2"/>
        <v>2015</v>
      </c>
      <c r="L4">
        <f t="shared" si="3"/>
        <v>5</v>
      </c>
      <c r="M4">
        <f t="shared" si="4"/>
        <v>1</v>
      </c>
      <c r="N4" s="12">
        <f t="shared" ca="1" si="5"/>
        <v>46090.85657546296</v>
      </c>
      <c r="O4">
        <v>5</v>
      </c>
      <c r="P4" t="s">
        <v>181</v>
      </c>
      <c r="Q4" t="s">
        <v>199</v>
      </c>
    </row>
    <row r="5" spans="1:17">
      <c r="A5" t="s">
        <v>31</v>
      </c>
      <c r="B5" t="s">
        <v>300</v>
      </c>
      <c r="C5" t="s">
        <v>281</v>
      </c>
      <c r="D5" t="s">
        <v>288</v>
      </c>
      <c r="E5" t="str">
        <f t="shared" si="0"/>
        <v>EveAdams</v>
      </c>
      <c r="F5" t="s">
        <v>166</v>
      </c>
      <c r="G5" t="s">
        <v>174</v>
      </c>
      <c r="H5" s="7">
        <v>38333</v>
      </c>
      <c r="I5" s="10">
        <v>42162</v>
      </c>
      <c r="J5">
        <f t="shared" ca="1" si="1"/>
        <v>10</v>
      </c>
      <c r="K5">
        <f t="shared" si="2"/>
        <v>2015</v>
      </c>
      <c r="L5">
        <f t="shared" si="3"/>
        <v>6</v>
      </c>
      <c r="M5">
        <f t="shared" si="4"/>
        <v>1</v>
      </c>
      <c r="N5" s="12">
        <f t="shared" ca="1" si="5"/>
        <v>46090.85657546296</v>
      </c>
      <c r="O5">
        <v>5</v>
      </c>
      <c r="P5" t="s">
        <v>178</v>
      </c>
      <c r="Q5" t="s">
        <v>202</v>
      </c>
    </row>
    <row r="6" spans="1:17">
      <c r="A6" t="s">
        <v>38</v>
      </c>
      <c r="B6" t="s">
        <v>306</v>
      </c>
      <c r="C6" t="s">
        <v>287</v>
      </c>
      <c r="D6" t="s">
        <v>294</v>
      </c>
      <c r="E6" t="str">
        <f t="shared" si="0"/>
        <v>BobJohnson</v>
      </c>
      <c r="F6" t="s">
        <v>170</v>
      </c>
      <c r="G6" t="s">
        <v>175</v>
      </c>
      <c r="H6" s="7">
        <v>92959</v>
      </c>
      <c r="I6" s="10">
        <v>42211</v>
      </c>
      <c r="J6">
        <f t="shared" ca="1" si="1"/>
        <v>10</v>
      </c>
      <c r="K6">
        <f t="shared" si="2"/>
        <v>2015</v>
      </c>
      <c r="L6">
        <f t="shared" si="3"/>
        <v>7</v>
      </c>
      <c r="M6">
        <f t="shared" si="4"/>
        <v>1</v>
      </c>
      <c r="N6" s="12">
        <f t="shared" ca="1" si="5"/>
        <v>46090.85657546296</v>
      </c>
      <c r="O6">
        <v>5</v>
      </c>
      <c r="P6" t="s">
        <v>178</v>
      </c>
      <c r="Q6" t="s">
        <v>209</v>
      </c>
    </row>
    <row r="7" spans="1:17">
      <c r="A7" t="s">
        <v>47</v>
      </c>
      <c r="B7" t="s">
        <v>302</v>
      </c>
      <c r="C7" t="s">
        <v>283</v>
      </c>
      <c r="D7" t="s">
        <v>290</v>
      </c>
      <c r="E7" t="str">
        <f t="shared" si="0"/>
        <v>JohnDoe</v>
      </c>
      <c r="F7" t="s">
        <v>170</v>
      </c>
      <c r="G7" t="s">
        <v>175</v>
      </c>
      <c r="H7" s="7">
        <v>52093</v>
      </c>
      <c r="I7" s="10">
        <v>42274</v>
      </c>
      <c r="J7">
        <f t="shared" ca="1" si="1"/>
        <v>10</v>
      </c>
      <c r="K7">
        <f t="shared" si="2"/>
        <v>2015</v>
      </c>
      <c r="L7">
        <f t="shared" si="3"/>
        <v>9</v>
      </c>
      <c r="M7">
        <f t="shared" si="4"/>
        <v>1</v>
      </c>
      <c r="N7" s="12">
        <f t="shared" ca="1" si="5"/>
        <v>46090.85657546296</v>
      </c>
      <c r="O7">
        <v>5</v>
      </c>
      <c r="P7" t="s">
        <v>178</v>
      </c>
      <c r="Q7" t="s">
        <v>217</v>
      </c>
    </row>
    <row r="8" spans="1:17">
      <c r="A8" t="s">
        <v>58</v>
      </c>
      <c r="B8" t="s">
        <v>300</v>
      </c>
      <c r="C8" t="s">
        <v>281</v>
      </c>
      <c r="D8" t="s">
        <v>288</v>
      </c>
      <c r="E8" t="str">
        <f t="shared" si="0"/>
        <v>EveAdams</v>
      </c>
      <c r="F8" t="s">
        <v>167</v>
      </c>
      <c r="G8" t="s">
        <v>172</v>
      </c>
      <c r="H8" s="7">
        <v>78720</v>
      </c>
      <c r="I8" s="10">
        <v>42351</v>
      </c>
      <c r="J8">
        <f t="shared" ca="1" si="1"/>
        <v>10</v>
      </c>
      <c r="K8">
        <f t="shared" si="2"/>
        <v>2015</v>
      </c>
      <c r="L8">
        <f t="shared" si="3"/>
        <v>12</v>
      </c>
      <c r="M8">
        <f t="shared" si="4"/>
        <v>1</v>
      </c>
      <c r="N8" s="12">
        <f t="shared" ca="1" si="5"/>
        <v>46090.85657546296</v>
      </c>
      <c r="O8">
        <v>5</v>
      </c>
      <c r="P8" t="s">
        <v>181</v>
      </c>
      <c r="Q8" t="s">
        <v>219</v>
      </c>
    </row>
    <row r="9" spans="1:17">
      <c r="A9" t="s">
        <v>60</v>
      </c>
      <c r="B9" t="s">
        <v>304</v>
      </c>
      <c r="C9" t="s">
        <v>285</v>
      </c>
      <c r="D9" t="s">
        <v>292</v>
      </c>
      <c r="E9" t="str">
        <f t="shared" si="0"/>
        <v>SamWilson</v>
      </c>
      <c r="F9" t="s">
        <v>168</v>
      </c>
      <c r="G9" t="s">
        <v>174</v>
      </c>
      <c r="H9" s="7">
        <v>39423</v>
      </c>
      <c r="I9" s="10">
        <v>42365</v>
      </c>
      <c r="J9">
        <f t="shared" ca="1" si="1"/>
        <v>10</v>
      </c>
      <c r="K9">
        <f t="shared" si="2"/>
        <v>2015</v>
      </c>
      <c r="L9">
        <f t="shared" si="3"/>
        <v>12</v>
      </c>
      <c r="M9">
        <f t="shared" si="4"/>
        <v>1</v>
      </c>
      <c r="N9" s="12">
        <f t="shared" ca="1" si="5"/>
        <v>46090.85657546296</v>
      </c>
      <c r="O9">
        <v>5</v>
      </c>
      <c r="P9" t="s">
        <v>178</v>
      </c>
      <c r="Q9" t="s">
        <v>227</v>
      </c>
    </row>
    <row r="10" spans="1:17">
      <c r="A10" t="s">
        <v>63</v>
      </c>
      <c r="B10" t="s">
        <v>306</v>
      </c>
      <c r="C10" t="s">
        <v>287</v>
      </c>
      <c r="D10" t="s">
        <v>294</v>
      </c>
      <c r="E10" t="str">
        <f t="shared" si="0"/>
        <v>BobJohnson</v>
      </c>
      <c r="F10" t="s">
        <v>170</v>
      </c>
      <c r="G10" t="s">
        <v>175</v>
      </c>
      <c r="H10" s="7">
        <v>75633</v>
      </c>
      <c r="I10" s="10">
        <v>42386</v>
      </c>
      <c r="J10">
        <f t="shared" ca="1" si="1"/>
        <v>10</v>
      </c>
      <c r="K10">
        <f t="shared" si="2"/>
        <v>2016</v>
      </c>
      <c r="L10">
        <f t="shared" si="3"/>
        <v>1</v>
      </c>
      <c r="M10">
        <f t="shared" si="4"/>
        <v>1</v>
      </c>
      <c r="N10" s="12">
        <f t="shared" ca="1" si="5"/>
        <v>46090.85657546296</v>
      </c>
      <c r="O10">
        <v>5</v>
      </c>
      <c r="P10" t="s">
        <v>179</v>
      </c>
      <c r="Q10" t="s">
        <v>229</v>
      </c>
    </row>
    <row r="11" spans="1:17">
      <c r="A11" t="s">
        <v>64</v>
      </c>
      <c r="B11" t="s">
        <v>305</v>
      </c>
      <c r="C11" t="s">
        <v>286</v>
      </c>
      <c r="D11" t="s">
        <v>293</v>
      </c>
      <c r="E11" t="str">
        <f t="shared" si="0"/>
        <v>ChrisLee</v>
      </c>
      <c r="F11" t="s">
        <v>178</v>
      </c>
      <c r="G11" t="s">
        <v>173</v>
      </c>
      <c r="H11" s="7">
        <v>74815</v>
      </c>
      <c r="I11" s="10">
        <v>42393</v>
      </c>
      <c r="J11">
        <f t="shared" ca="1" si="1"/>
        <v>10</v>
      </c>
      <c r="K11">
        <f t="shared" si="2"/>
        <v>2016</v>
      </c>
      <c r="L11">
        <f t="shared" si="3"/>
        <v>1</v>
      </c>
      <c r="M11">
        <f t="shared" si="4"/>
        <v>1</v>
      </c>
      <c r="N11" s="12">
        <f t="shared" ca="1" si="5"/>
        <v>46090.85657546296</v>
      </c>
      <c r="O11">
        <v>5</v>
      </c>
      <c r="P11" t="s">
        <v>181</v>
      </c>
      <c r="Q11" t="s">
        <v>230</v>
      </c>
    </row>
    <row r="12" spans="1:17">
      <c r="A12" t="s">
        <v>67</v>
      </c>
      <c r="B12" t="s">
        <v>304</v>
      </c>
      <c r="C12" t="s">
        <v>285</v>
      </c>
      <c r="D12" t="s">
        <v>292</v>
      </c>
      <c r="E12" t="str">
        <f t="shared" si="0"/>
        <v>SamWilson</v>
      </c>
      <c r="F12" t="s">
        <v>170</v>
      </c>
      <c r="G12" s="3" t="s">
        <v>178</v>
      </c>
      <c r="H12" s="7">
        <v>84924</v>
      </c>
      <c r="I12" s="10">
        <v>42414</v>
      </c>
      <c r="J12">
        <f t="shared" ca="1" si="1"/>
        <v>10</v>
      </c>
      <c r="K12">
        <f t="shared" si="2"/>
        <v>2016</v>
      </c>
      <c r="L12">
        <f t="shared" si="3"/>
        <v>2</v>
      </c>
      <c r="M12">
        <f t="shared" si="4"/>
        <v>1</v>
      </c>
      <c r="N12" s="12">
        <f t="shared" ca="1" si="5"/>
        <v>46090.85657546296</v>
      </c>
      <c r="O12">
        <v>5</v>
      </c>
      <c r="P12" t="s">
        <v>180</v>
      </c>
      <c r="Q12" t="s">
        <v>232</v>
      </c>
    </row>
    <row r="13" spans="1:17">
      <c r="A13" t="s">
        <v>69</v>
      </c>
      <c r="B13" s="3" t="s">
        <v>178</v>
      </c>
      <c r="C13" s="3" t="s">
        <v>178</v>
      </c>
      <c r="D13" t="s">
        <v>178</v>
      </c>
      <c r="E13" t="str">
        <f t="shared" si="0"/>
        <v>Unknown</v>
      </c>
      <c r="F13" t="s">
        <v>170</v>
      </c>
      <c r="G13" t="s">
        <v>172</v>
      </c>
      <c r="H13" s="7">
        <v>66281</v>
      </c>
      <c r="I13" s="10" t="s">
        <v>178</v>
      </c>
      <c r="J13" t="str">
        <f t="shared" ca="1" si="1"/>
        <v>Unknown</v>
      </c>
      <c r="K13" t="str">
        <f t="shared" si="2"/>
        <v>Unknown</v>
      </c>
      <c r="L13" t="str">
        <f t="shared" si="3"/>
        <v>Unknown</v>
      </c>
      <c r="M13" t="str">
        <f t="shared" si="4"/>
        <v>Unknown</v>
      </c>
      <c r="N13" s="12">
        <f t="shared" ca="1" si="5"/>
        <v>46090.85657546296</v>
      </c>
      <c r="O13">
        <v>5</v>
      </c>
      <c r="P13" t="s">
        <v>178</v>
      </c>
      <c r="Q13" t="s">
        <v>233</v>
      </c>
    </row>
    <row r="14" spans="1:17">
      <c r="A14" t="s">
        <v>71</v>
      </c>
      <c r="B14" t="s">
        <v>305</v>
      </c>
      <c r="C14" t="s">
        <v>286</v>
      </c>
      <c r="D14" t="s">
        <v>293</v>
      </c>
      <c r="E14" t="str">
        <f t="shared" si="0"/>
        <v>ChrisLee</v>
      </c>
      <c r="F14" t="s">
        <v>169</v>
      </c>
      <c r="G14" t="s">
        <v>175</v>
      </c>
      <c r="H14" s="7">
        <v>97981</v>
      </c>
      <c r="I14" s="10">
        <v>42442</v>
      </c>
      <c r="J14">
        <f t="shared" ca="1" si="1"/>
        <v>9</v>
      </c>
      <c r="K14">
        <f t="shared" si="2"/>
        <v>2016</v>
      </c>
      <c r="L14">
        <f t="shared" si="3"/>
        <v>3</v>
      </c>
      <c r="M14">
        <f t="shared" si="4"/>
        <v>1</v>
      </c>
      <c r="N14" s="12">
        <f t="shared" ca="1" si="5"/>
        <v>46090.85657546296</v>
      </c>
      <c r="O14">
        <v>5</v>
      </c>
      <c r="P14" t="s">
        <v>181</v>
      </c>
      <c r="Q14" t="s">
        <v>234</v>
      </c>
    </row>
    <row r="15" spans="1:17">
      <c r="A15" t="s">
        <v>79</v>
      </c>
      <c r="B15" t="s">
        <v>300</v>
      </c>
      <c r="C15" t="s">
        <v>281</v>
      </c>
      <c r="D15" t="s">
        <v>288</v>
      </c>
      <c r="E15" t="str">
        <f t="shared" si="0"/>
        <v>EveAdams</v>
      </c>
      <c r="F15" t="s">
        <v>168</v>
      </c>
      <c r="G15" t="s">
        <v>176</v>
      </c>
      <c r="H15" s="7">
        <v>69952</v>
      </c>
      <c r="I15" s="10">
        <v>42498</v>
      </c>
      <c r="J15">
        <f t="shared" ca="1" si="1"/>
        <v>9</v>
      </c>
      <c r="K15">
        <f t="shared" si="2"/>
        <v>2016</v>
      </c>
      <c r="L15">
        <f t="shared" si="3"/>
        <v>5</v>
      </c>
      <c r="M15">
        <f t="shared" si="4"/>
        <v>1</v>
      </c>
      <c r="N15" s="12">
        <f t="shared" ca="1" si="5"/>
        <v>46090.85657546296</v>
      </c>
      <c r="O15">
        <v>5</v>
      </c>
      <c r="P15" t="s">
        <v>181</v>
      </c>
      <c r="Q15" t="s">
        <v>178</v>
      </c>
    </row>
    <row r="16" spans="1:17">
      <c r="A16" t="s">
        <v>94</v>
      </c>
      <c r="B16" t="s">
        <v>305</v>
      </c>
      <c r="C16" t="s">
        <v>286</v>
      </c>
      <c r="D16" t="s">
        <v>293</v>
      </c>
      <c r="E16" t="str">
        <f t="shared" si="0"/>
        <v>ChrisLee</v>
      </c>
      <c r="F16" t="s">
        <v>166</v>
      </c>
      <c r="G16" s="3" t="s">
        <v>178</v>
      </c>
      <c r="H16" s="7">
        <v>35163</v>
      </c>
      <c r="I16" s="10">
        <v>42603</v>
      </c>
      <c r="J16">
        <f t="shared" ca="1" si="1"/>
        <v>9</v>
      </c>
      <c r="K16">
        <f t="shared" si="2"/>
        <v>2016</v>
      </c>
      <c r="L16">
        <f t="shared" si="3"/>
        <v>8</v>
      </c>
      <c r="M16">
        <f t="shared" si="4"/>
        <v>1</v>
      </c>
      <c r="N16" s="12">
        <f t="shared" ca="1" si="5"/>
        <v>46090.85657546296</v>
      </c>
      <c r="O16">
        <v>5</v>
      </c>
      <c r="P16" t="s">
        <v>179</v>
      </c>
      <c r="Q16" t="s">
        <v>249</v>
      </c>
    </row>
    <row r="17" spans="1:17">
      <c r="A17" t="s">
        <v>101</v>
      </c>
      <c r="B17" t="s">
        <v>303</v>
      </c>
      <c r="C17" t="s">
        <v>284</v>
      </c>
      <c r="D17" t="s">
        <v>291</v>
      </c>
      <c r="E17" t="str">
        <f t="shared" si="0"/>
        <v>JaneSmith</v>
      </c>
      <c r="F17" t="s">
        <v>169</v>
      </c>
      <c r="G17" s="3" t="s">
        <v>178</v>
      </c>
      <c r="H17" s="7">
        <v>80588</v>
      </c>
      <c r="I17" s="10">
        <v>42652</v>
      </c>
      <c r="J17">
        <f t="shared" ca="1" si="1"/>
        <v>9</v>
      </c>
      <c r="K17">
        <f t="shared" si="2"/>
        <v>2016</v>
      </c>
      <c r="L17">
        <f t="shared" si="3"/>
        <v>10</v>
      </c>
      <c r="M17">
        <f t="shared" si="4"/>
        <v>1</v>
      </c>
      <c r="N17" s="12">
        <f t="shared" ca="1" si="5"/>
        <v>46090.85657546296</v>
      </c>
      <c r="O17">
        <v>5</v>
      </c>
      <c r="P17" t="s">
        <v>180</v>
      </c>
      <c r="Q17" t="s">
        <v>216</v>
      </c>
    </row>
    <row r="18" spans="1:17">
      <c r="A18" t="s">
        <v>112</v>
      </c>
      <c r="B18" t="s">
        <v>301</v>
      </c>
      <c r="C18" t="s">
        <v>282</v>
      </c>
      <c r="D18" t="s">
        <v>289</v>
      </c>
      <c r="E18" t="str">
        <f t="shared" si="0"/>
        <v>AliceBrown</v>
      </c>
      <c r="F18" t="s">
        <v>170</v>
      </c>
      <c r="G18" s="3" t="s">
        <v>178</v>
      </c>
      <c r="H18" s="7">
        <v>79145</v>
      </c>
      <c r="I18" s="10">
        <v>42729</v>
      </c>
      <c r="J18">
        <f t="shared" ca="1" si="1"/>
        <v>9</v>
      </c>
      <c r="K18">
        <f t="shared" si="2"/>
        <v>2016</v>
      </c>
      <c r="L18">
        <f t="shared" si="3"/>
        <v>12</v>
      </c>
      <c r="M18">
        <f t="shared" si="4"/>
        <v>1</v>
      </c>
      <c r="N18" s="12">
        <f t="shared" ca="1" si="5"/>
        <v>46090.85657546296</v>
      </c>
      <c r="O18">
        <v>5</v>
      </c>
      <c r="P18" t="s">
        <v>179</v>
      </c>
      <c r="Q18" t="s">
        <v>223</v>
      </c>
    </row>
    <row r="19" spans="1:17">
      <c r="A19" t="s">
        <v>120</v>
      </c>
      <c r="B19" t="s">
        <v>305</v>
      </c>
      <c r="C19" t="s">
        <v>286</v>
      </c>
      <c r="D19" t="s">
        <v>293</v>
      </c>
      <c r="E19" t="str">
        <f t="shared" si="0"/>
        <v>ChrisLee</v>
      </c>
      <c r="F19" t="s">
        <v>169</v>
      </c>
      <c r="G19" t="s">
        <v>173</v>
      </c>
      <c r="H19" s="7">
        <v>34306</v>
      </c>
      <c r="I19" s="10">
        <v>42785</v>
      </c>
      <c r="J19">
        <f t="shared" ca="1" si="1"/>
        <v>9</v>
      </c>
      <c r="K19">
        <f t="shared" si="2"/>
        <v>2017</v>
      </c>
      <c r="L19">
        <f t="shared" si="3"/>
        <v>2</v>
      </c>
      <c r="M19">
        <f t="shared" si="4"/>
        <v>1</v>
      </c>
      <c r="N19" s="12">
        <f t="shared" ca="1" si="5"/>
        <v>46090.85657546296</v>
      </c>
      <c r="O19">
        <v>5</v>
      </c>
      <c r="P19" t="s">
        <v>181</v>
      </c>
      <c r="Q19" t="s">
        <v>239</v>
      </c>
    </row>
    <row r="20" spans="1:17">
      <c r="A20" t="s">
        <v>125</v>
      </c>
      <c r="B20" t="s">
        <v>306</v>
      </c>
      <c r="C20" t="s">
        <v>287</v>
      </c>
      <c r="D20" t="s">
        <v>294</v>
      </c>
      <c r="E20" t="str">
        <f t="shared" si="0"/>
        <v>BobJohnson</v>
      </c>
      <c r="F20" t="s">
        <v>170</v>
      </c>
      <c r="G20" t="s">
        <v>176</v>
      </c>
      <c r="H20" s="7">
        <v>38837</v>
      </c>
      <c r="I20" s="10">
        <v>42820</v>
      </c>
      <c r="J20">
        <f t="shared" ca="1" si="1"/>
        <v>8</v>
      </c>
      <c r="K20">
        <f t="shared" si="2"/>
        <v>2017</v>
      </c>
      <c r="L20">
        <f t="shared" si="3"/>
        <v>3</v>
      </c>
      <c r="M20">
        <f t="shared" si="4"/>
        <v>1</v>
      </c>
      <c r="N20" s="12">
        <f t="shared" ca="1" si="5"/>
        <v>46090.85657546296</v>
      </c>
      <c r="O20">
        <v>5</v>
      </c>
      <c r="P20" t="s">
        <v>181</v>
      </c>
      <c r="Q20" t="s">
        <v>239</v>
      </c>
    </row>
    <row r="21" spans="1:17">
      <c r="A21" t="s">
        <v>129</v>
      </c>
      <c r="B21" s="3" t="s">
        <v>178</v>
      </c>
      <c r="C21" s="3" t="s">
        <v>178</v>
      </c>
      <c r="D21" t="s">
        <v>178</v>
      </c>
      <c r="E21" t="str">
        <f t="shared" si="0"/>
        <v>Unknown</v>
      </c>
      <c r="F21" t="s">
        <v>169</v>
      </c>
      <c r="G21" t="s">
        <v>173</v>
      </c>
      <c r="H21" s="7">
        <v>66281</v>
      </c>
      <c r="I21" s="10" t="s">
        <v>178</v>
      </c>
      <c r="J21" t="str">
        <f t="shared" ca="1" si="1"/>
        <v>Unknown</v>
      </c>
      <c r="K21" t="str">
        <f t="shared" si="2"/>
        <v>Unknown</v>
      </c>
      <c r="L21" t="str">
        <f t="shared" si="3"/>
        <v>Unknown</v>
      </c>
      <c r="M21" t="str">
        <f t="shared" si="4"/>
        <v>Unknown</v>
      </c>
      <c r="N21" s="12">
        <f t="shared" ca="1" si="5"/>
        <v>46090.85657546296</v>
      </c>
      <c r="O21">
        <v>5</v>
      </c>
      <c r="P21" t="s">
        <v>178</v>
      </c>
      <c r="Q21" t="s">
        <v>268</v>
      </c>
    </row>
    <row r="22" spans="1:17">
      <c r="A22" t="s">
        <v>132</v>
      </c>
      <c r="B22" t="s">
        <v>303</v>
      </c>
      <c r="C22" t="s">
        <v>284</v>
      </c>
      <c r="D22" t="s">
        <v>291</v>
      </c>
      <c r="E22" t="str">
        <f t="shared" si="0"/>
        <v>JaneSmith</v>
      </c>
      <c r="F22" t="s">
        <v>178</v>
      </c>
      <c r="G22" t="s">
        <v>172</v>
      </c>
      <c r="H22" s="7">
        <v>30357</v>
      </c>
      <c r="I22" s="10">
        <v>42869</v>
      </c>
      <c r="J22">
        <f t="shared" ca="1" si="1"/>
        <v>8</v>
      </c>
      <c r="K22">
        <f t="shared" si="2"/>
        <v>2017</v>
      </c>
      <c r="L22">
        <f t="shared" si="3"/>
        <v>5</v>
      </c>
      <c r="M22">
        <f t="shared" si="4"/>
        <v>1</v>
      </c>
      <c r="N22" s="12">
        <f t="shared" ca="1" si="5"/>
        <v>46090.85657546296</v>
      </c>
      <c r="O22">
        <v>5</v>
      </c>
      <c r="P22" t="s">
        <v>180</v>
      </c>
      <c r="Q22" t="s">
        <v>248</v>
      </c>
    </row>
    <row r="23" spans="1:17">
      <c r="A23" t="s">
        <v>134</v>
      </c>
      <c r="B23" t="s">
        <v>302</v>
      </c>
      <c r="C23" t="s">
        <v>283</v>
      </c>
      <c r="D23" t="s">
        <v>290</v>
      </c>
      <c r="E23" t="str">
        <f t="shared" si="0"/>
        <v>JohnDoe</v>
      </c>
      <c r="F23" t="s">
        <v>166</v>
      </c>
      <c r="G23" t="s">
        <v>178</v>
      </c>
      <c r="H23" s="7">
        <v>90019</v>
      </c>
      <c r="I23" s="10">
        <v>42883</v>
      </c>
      <c r="J23">
        <f t="shared" ca="1" si="1"/>
        <v>8</v>
      </c>
      <c r="K23">
        <f t="shared" si="2"/>
        <v>2017</v>
      </c>
      <c r="L23">
        <f t="shared" si="3"/>
        <v>5</v>
      </c>
      <c r="M23">
        <f t="shared" si="4"/>
        <v>1</v>
      </c>
      <c r="N23" s="12">
        <f t="shared" ca="1" si="5"/>
        <v>46090.85657546296</v>
      </c>
      <c r="O23">
        <v>5</v>
      </c>
      <c r="P23" t="s">
        <v>178</v>
      </c>
      <c r="Q23" t="s">
        <v>272</v>
      </c>
    </row>
    <row r="24" spans="1:17">
      <c r="A24" t="s">
        <v>150</v>
      </c>
      <c r="B24" t="s">
        <v>303</v>
      </c>
      <c r="C24" t="s">
        <v>284</v>
      </c>
      <c r="D24" t="s">
        <v>291</v>
      </c>
      <c r="E24" t="str">
        <f t="shared" si="0"/>
        <v>JaneSmith</v>
      </c>
      <c r="F24" t="s">
        <v>170</v>
      </c>
      <c r="G24" t="s">
        <v>173</v>
      </c>
      <c r="H24" s="7">
        <v>66882</v>
      </c>
      <c r="I24" s="10">
        <v>42995</v>
      </c>
      <c r="J24">
        <f t="shared" ca="1" si="1"/>
        <v>8</v>
      </c>
      <c r="K24">
        <f t="shared" si="2"/>
        <v>2017</v>
      </c>
      <c r="L24">
        <f t="shared" si="3"/>
        <v>9</v>
      </c>
      <c r="M24">
        <f t="shared" si="4"/>
        <v>1</v>
      </c>
      <c r="N24" s="12">
        <f t="shared" ca="1" si="5"/>
        <v>46090.85657546296</v>
      </c>
      <c r="O24">
        <v>5</v>
      </c>
      <c r="P24" t="s">
        <v>179</v>
      </c>
      <c r="Q24" t="s">
        <v>207</v>
      </c>
    </row>
    <row r="25" spans="1:17">
      <c r="A25" t="s">
        <v>154</v>
      </c>
      <c r="B25" t="s">
        <v>304</v>
      </c>
      <c r="C25" t="s">
        <v>285</v>
      </c>
      <c r="D25" t="s">
        <v>292</v>
      </c>
      <c r="E25" t="str">
        <f t="shared" si="0"/>
        <v>SamWilson</v>
      </c>
      <c r="F25" t="s">
        <v>168</v>
      </c>
      <c r="G25" t="s">
        <v>176</v>
      </c>
      <c r="H25" s="7">
        <v>35627</v>
      </c>
      <c r="I25" s="10">
        <v>43023</v>
      </c>
      <c r="J25">
        <f t="shared" ca="1" si="1"/>
        <v>8</v>
      </c>
      <c r="K25">
        <f t="shared" si="2"/>
        <v>2017</v>
      </c>
      <c r="L25">
        <f t="shared" si="3"/>
        <v>10</v>
      </c>
      <c r="M25">
        <f t="shared" si="4"/>
        <v>1</v>
      </c>
      <c r="N25" s="12">
        <f t="shared" ca="1" si="5"/>
        <v>46090.85657546296</v>
      </c>
      <c r="O25">
        <v>5</v>
      </c>
      <c r="P25" t="s">
        <v>181</v>
      </c>
      <c r="Q25" t="s">
        <v>275</v>
      </c>
    </row>
    <row r="26" spans="1:17">
      <c r="A26" t="s">
        <v>158</v>
      </c>
      <c r="B26" t="s">
        <v>304</v>
      </c>
      <c r="C26" t="s">
        <v>285</v>
      </c>
      <c r="D26" t="s">
        <v>292</v>
      </c>
      <c r="E26" t="str">
        <f t="shared" si="0"/>
        <v>SamWilson</v>
      </c>
      <c r="F26" t="s">
        <v>170</v>
      </c>
      <c r="G26" t="s">
        <v>174</v>
      </c>
      <c r="H26" s="7">
        <v>98475</v>
      </c>
      <c r="I26" s="10">
        <v>43051</v>
      </c>
      <c r="J26">
        <f t="shared" ca="1" si="1"/>
        <v>8</v>
      </c>
      <c r="K26">
        <f t="shared" si="2"/>
        <v>2017</v>
      </c>
      <c r="L26">
        <f t="shared" si="3"/>
        <v>11</v>
      </c>
      <c r="M26">
        <f t="shared" si="4"/>
        <v>1</v>
      </c>
      <c r="N26" s="12">
        <f t="shared" ca="1" si="5"/>
        <v>46090.85657546296</v>
      </c>
      <c r="O26">
        <v>5</v>
      </c>
      <c r="P26" t="s">
        <v>179</v>
      </c>
      <c r="Q26" t="s">
        <v>280</v>
      </c>
    </row>
    <row r="27" spans="1:17" hidden="1">
      <c r="A27" t="s">
        <v>22</v>
      </c>
      <c r="B27" t="s">
        <v>304</v>
      </c>
      <c r="C27" t="s">
        <v>285</v>
      </c>
      <c r="D27" t="s">
        <v>292</v>
      </c>
      <c r="E27" t="str">
        <f t="shared" si="0"/>
        <v>SamWilson</v>
      </c>
      <c r="F27" t="s">
        <v>178</v>
      </c>
      <c r="G27" t="s">
        <v>174</v>
      </c>
      <c r="H27" s="7">
        <v>62158</v>
      </c>
      <c r="I27" s="10">
        <v>42099</v>
      </c>
      <c r="J27">
        <f t="shared" ca="1" si="1"/>
        <v>10</v>
      </c>
      <c r="K27">
        <f t="shared" si="2"/>
        <v>2015</v>
      </c>
      <c r="L27">
        <f t="shared" si="3"/>
        <v>4</v>
      </c>
      <c r="M27">
        <f t="shared" si="4"/>
        <v>1</v>
      </c>
      <c r="N27" s="12">
        <f t="shared" ca="1" si="5"/>
        <v>46090.85657546296</v>
      </c>
      <c r="O27">
        <v>4</v>
      </c>
      <c r="P27" t="s">
        <v>178</v>
      </c>
      <c r="Q27" t="s">
        <v>193</v>
      </c>
    </row>
    <row r="28" spans="1:17" hidden="1">
      <c r="A28" t="s">
        <v>30</v>
      </c>
      <c r="B28" t="s">
        <v>303</v>
      </c>
      <c r="C28" t="s">
        <v>284</v>
      </c>
      <c r="D28" t="s">
        <v>291</v>
      </c>
      <c r="E28" t="str">
        <f t="shared" si="0"/>
        <v>JaneSmith</v>
      </c>
      <c r="F28" t="s">
        <v>167</v>
      </c>
      <c r="G28" s="3" t="s">
        <v>178</v>
      </c>
      <c r="H28" s="7">
        <v>98922</v>
      </c>
      <c r="I28" s="10">
        <v>42155</v>
      </c>
      <c r="J28">
        <f t="shared" ca="1" si="1"/>
        <v>10</v>
      </c>
      <c r="K28">
        <f t="shared" si="2"/>
        <v>2015</v>
      </c>
      <c r="L28">
        <f t="shared" si="3"/>
        <v>5</v>
      </c>
      <c r="M28">
        <f t="shared" si="4"/>
        <v>1</v>
      </c>
      <c r="N28" s="12">
        <f t="shared" ca="1" si="5"/>
        <v>46090.85657546296</v>
      </c>
      <c r="O28">
        <v>4</v>
      </c>
      <c r="P28" t="s">
        <v>178</v>
      </c>
      <c r="Q28" t="s">
        <v>201</v>
      </c>
    </row>
    <row r="29" spans="1:17" hidden="1">
      <c r="A29" t="s">
        <v>44</v>
      </c>
      <c r="B29" t="s">
        <v>301</v>
      </c>
      <c r="C29" t="s">
        <v>282</v>
      </c>
      <c r="D29" t="s">
        <v>289</v>
      </c>
      <c r="E29" t="str">
        <f t="shared" si="0"/>
        <v>AliceBrown</v>
      </c>
      <c r="F29" t="s">
        <v>178</v>
      </c>
      <c r="G29" t="s">
        <v>175</v>
      </c>
      <c r="H29" s="7">
        <v>54463</v>
      </c>
      <c r="I29" s="10">
        <v>42253</v>
      </c>
      <c r="J29">
        <f t="shared" ca="1" si="1"/>
        <v>10</v>
      </c>
      <c r="K29">
        <f t="shared" si="2"/>
        <v>2015</v>
      </c>
      <c r="L29">
        <f t="shared" si="3"/>
        <v>9</v>
      </c>
      <c r="M29">
        <f t="shared" si="4"/>
        <v>1</v>
      </c>
      <c r="N29" s="12">
        <f t="shared" ca="1" si="5"/>
        <v>46090.85657546296</v>
      </c>
      <c r="O29">
        <v>4</v>
      </c>
      <c r="P29" t="s">
        <v>180</v>
      </c>
      <c r="Q29" t="s">
        <v>178</v>
      </c>
    </row>
    <row r="30" spans="1:17" hidden="1">
      <c r="A30" t="s">
        <v>49</v>
      </c>
      <c r="B30" t="s">
        <v>306</v>
      </c>
      <c r="C30" t="s">
        <v>287</v>
      </c>
      <c r="D30" t="s">
        <v>294</v>
      </c>
      <c r="E30" t="str">
        <f t="shared" si="0"/>
        <v>BobJohnson</v>
      </c>
      <c r="F30" t="s">
        <v>166</v>
      </c>
      <c r="G30" t="s">
        <v>175</v>
      </c>
      <c r="H30" s="7">
        <v>66281</v>
      </c>
      <c r="I30" s="10" t="s">
        <v>178</v>
      </c>
      <c r="J30" t="str">
        <f t="shared" ca="1" si="1"/>
        <v>Unknown</v>
      </c>
      <c r="K30" t="str">
        <f t="shared" si="2"/>
        <v>Unknown</v>
      </c>
      <c r="L30" t="str">
        <f t="shared" si="3"/>
        <v>Unknown</v>
      </c>
      <c r="M30" t="str">
        <f t="shared" si="4"/>
        <v>Unknown</v>
      </c>
      <c r="N30" s="12">
        <f t="shared" ca="1" si="5"/>
        <v>46090.85657546296</v>
      </c>
      <c r="O30">
        <v>4</v>
      </c>
      <c r="P30" t="s">
        <v>181</v>
      </c>
      <c r="Q30" t="s">
        <v>219</v>
      </c>
    </row>
    <row r="31" spans="1:17" hidden="1">
      <c r="A31" t="s">
        <v>56</v>
      </c>
      <c r="B31" t="s">
        <v>305</v>
      </c>
      <c r="C31" t="s">
        <v>286</v>
      </c>
      <c r="D31" t="s">
        <v>293</v>
      </c>
      <c r="E31" t="str">
        <f t="shared" si="0"/>
        <v>ChrisLee</v>
      </c>
      <c r="F31" t="s">
        <v>167</v>
      </c>
      <c r="G31" t="s">
        <v>174</v>
      </c>
      <c r="H31" s="7">
        <v>58245</v>
      </c>
      <c r="I31" s="10">
        <v>42337</v>
      </c>
      <c r="J31">
        <f t="shared" ca="1" si="1"/>
        <v>10</v>
      </c>
      <c r="K31">
        <f t="shared" si="2"/>
        <v>2015</v>
      </c>
      <c r="L31">
        <f t="shared" si="3"/>
        <v>11</v>
      </c>
      <c r="M31">
        <f t="shared" si="4"/>
        <v>1</v>
      </c>
      <c r="N31" s="12">
        <f t="shared" ca="1" si="5"/>
        <v>46090.85657546296</v>
      </c>
      <c r="O31">
        <v>4</v>
      </c>
      <c r="P31" t="s">
        <v>178</v>
      </c>
      <c r="Q31" t="s">
        <v>225</v>
      </c>
    </row>
    <row r="32" spans="1:17" hidden="1">
      <c r="A32" t="s">
        <v>74</v>
      </c>
      <c r="B32" t="s">
        <v>304</v>
      </c>
      <c r="C32" t="s">
        <v>285</v>
      </c>
      <c r="D32" t="s">
        <v>292</v>
      </c>
      <c r="E32" t="str">
        <f t="shared" si="0"/>
        <v>SamWilson</v>
      </c>
      <c r="F32" t="s">
        <v>166</v>
      </c>
      <c r="G32" t="s">
        <v>174</v>
      </c>
      <c r="H32" s="7">
        <v>33468</v>
      </c>
      <c r="I32" s="10">
        <v>42463</v>
      </c>
      <c r="J32">
        <f t="shared" ca="1" si="1"/>
        <v>9</v>
      </c>
      <c r="K32">
        <f t="shared" si="2"/>
        <v>2016</v>
      </c>
      <c r="L32">
        <f t="shared" si="3"/>
        <v>4</v>
      </c>
      <c r="M32">
        <f t="shared" si="4"/>
        <v>1</v>
      </c>
      <c r="N32" s="12">
        <f t="shared" ca="1" si="5"/>
        <v>46090.85657546296</v>
      </c>
      <c r="O32">
        <v>4</v>
      </c>
      <c r="P32" t="s">
        <v>180</v>
      </c>
      <c r="Q32" t="s">
        <v>237</v>
      </c>
    </row>
    <row r="33" spans="1:17" hidden="1">
      <c r="A33" t="s">
        <v>82</v>
      </c>
      <c r="B33" t="s">
        <v>302</v>
      </c>
      <c r="C33" t="s">
        <v>283</v>
      </c>
      <c r="D33" t="s">
        <v>290</v>
      </c>
      <c r="E33" t="str">
        <f t="shared" si="0"/>
        <v>JohnDoe</v>
      </c>
      <c r="F33" t="s">
        <v>168</v>
      </c>
      <c r="G33" t="s">
        <v>174</v>
      </c>
      <c r="H33" s="7">
        <v>91101</v>
      </c>
      <c r="I33" s="10">
        <v>42519</v>
      </c>
      <c r="J33">
        <f t="shared" ca="1" si="1"/>
        <v>9</v>
      </c>
      <c r="K33">
        <f t="shared" si="2"/>
        <v>2016</v>
      </c>
      <c r="L33">
        <f t="shared" si="3"/>
        <v>5</v>
      </c>
      <c r="M33">
        <f t="shared" si="4"/>
        <v>1</v>
      </c>
      <c r="N33" s="12">
        <f t="shared" ca="1" si="5"/>
        <v>46090.85657546296</v>
      </c>
      <c r="O33">
        <v>4</v>
      </c>
      <c r="P33" t="s">
        <v>181</v>
      </c>
      <c r="Q33" t="s">
        <v>234</v>
      </c>
    </row>
    <row r="34" spans="1:17" hidden="1">
      <c r="A34" t="s">
        <v>93</v>
      </c>
      <c r="B34" t="s">
        <v>302</v>
      </c>
      <c r="C34" t="s">
        <v>283</v>
      </c>
      <c r="D34" t="s">
        <v>290</v>
      </c>
      <c r="E34" t="str">
        <f t="shared" ref="E34:E65" si="6">TRIM(B34)</f>
        <v>JohnDoe</v>
      </c>
      <c r="F34" t="s">
        <v>170</v>
      </c>
      <c r="G34" t="s">
        <v>174</v>
      </c>
      <c r="H34" s="7">
        <v>44682</v>
      </c>
      <c r="I34" s="10">
        <v>42596</v>
      </c>
      <c r="J34">
        <f t="shared" ref="J34:J65" ca="1" si="7">IF(I34="Unknown","Unknown",DATEDIF(I34,TODAY(),"Y"))</f>
        <v>9</v>
      </c>
      <c r="K34">
        <f t="shared" ref="K34:K65" si="8">IF(I34="Unknown","Unknown",YEAR(I34))</f>
        <v>2016</v>
      </c>
      <c r="L34">
        <f t="shared" ref="L34:L65" si="9">IF(I34="Unknown","Unknown",MONTH(I34))</f>
        <v>8</v>
      </c>
      <c r="M34">
        <f t="shared" ref="M34:M65" si="10">IF(I34="Unknown","Unknown",WEEKDAY(I34))</f>
        <v>1</v>
      </c>
      <c r="N34" s="12">
        <f t="shared" ref="N34:N65" ca="1" si="11">NOW()</f>
        <v>46090.85657546296</v>
      </c>
      <c r="O34">
        <v>4</v>
      </c>
      <c r="P34" t="s">
        <v>181</v>
      </c>
      <c r="Q34" t="s">
        <v>220</v>
      </c>
    </row>
    <row r="35" spans="1:17" hidden="1">
      <c r="A35" t="s">
        <v>95</v>
      </c>
      <c r="B35" t="s">
        <v>305</v>
      </c>
      <c r="C35" t="s">
        <v>286</v>
      </c>
      <c r="D35" t="s">
        <v>293</v>
      </c>
      <c r="E35" t="str">
        <f t="shared" si="6"/>
        <v>ChrisLee</v>
      </c>
      <c r="F35" t="s">
        <v>169</v>
      </c>
      <c r="G35" t="s">
        <v>174</v>
      </c>
      <c r="H35" s="7">
        <v>33483</v>
      </c>
      <c r="I35" s="10">
        <v>42610</v>
      </c>
      <c r="J35">
        <f t="shared" ca="1" si="7"/>
        <v>9</v>
      </c>
      <c r="K35">
        <f t="shared" si="8"/>
        <v>2016</v>
      </c>
      <c r="L35">
        <f t="shared" si="9"/>
        <v>8</v>
      </c>
      <c r="M35">
        <f t="shared" si="10"/>
        <v>1</v>
      </c>
      <c r="N35" s="12">
        <f t="shared" ca="1" si="11"/>
        <v>46090.85657546296</v>
      </c>
      <c r="O35">
        <v>4</v>
      </c>
      <c r="P35" t="s">
        <v>180</v>
      </c>
      <c r="Q35" t="s">
        <v>250</v>
      </c>
    </row>
    <row r="36" spans="1:17" hidden="1">
      <c r="A36" t="s">
        <v>96</v>
      </c>
      <c r="B36" t="s">
        <v>304</v>
      </c>
      <c r="C36" t="s">
        <v>285</v>
      </c>
      <c r="D36" t="s">
        <v>292</v>
      </c>
      <c r="E36" t="str">
        <f t="shared" si="6"/>
        <v>SamWilson</v>
      </c>
      <c r="F36" t="s">
        <v>167</v>
      </c>
      <c r="G36" t="s">
        <v>172</v>
      </c>
      <c r="H36" s="7">
        <v>55303</v>
      </c>
      <c r="I36" s="10">
        <v>42617</v>
      </c>
      <c r="J36">
        <f t="shared" ca="1" si="7"/>
        <v>9</v>
      </c>
      <c r="K36">
        <f t="shared" si="8"/>
        <v>2016</v>
      </c>
      <c r="L36">
        <f t="shared" si="9"/>
        <v>9</v>
      </c>
      <c r="M36">
        <f t="shared" si="10"/>
        <v>1</v>
      </c>
      <c r="N36" s="12">
        <f t="shared" ca="1" si="11"/>
        <v>46090.85657546296</v>
      </c>
      <c r="O36">
        <v>4</v>
      </c>
      <c r="P36" t="s">
        <v>180</v>
      </c>
      <c r="Q36" t="s">
        <v>203</v>
      </c>
    </row>
    <row r="37" spans="1:17" hidden="1">
      <c r="A37" t="s">
        <v>102</v>
      </c>
      <c r="B37" t="s">
        <v>301</v>
      </c>
      <c r="C37" t="s">
        <v>282</v>
      </c>
      <c r="D37" t="s">
        <v>289</v>
      </c>
      <c r="E37" t="str">
        <f t="shared" si="6"/>
        <v>AliceBrown</v>
      </c>
      <c r="F37" t="s">
        <v>178</v>
      </c>
      <c r="G37" t="s">
        <v>173</v>
      </c>
      <c r="H37" s="7">
        <v>76238</v>
      </c>
      <c r="I37" s="10">
        <v>42659</v>
      </c>
      <c r="J37">
        <f t="shared" ca="1" si="7"/>
        <v>9</v>
      </c>
      <c r="K37">
        <f t="shared" si="8"/>
        <v>2016</v>
      </c>
      <c r="L37">
        <f t="shared" si="9"/>
        <v>10</v>
      </c>
      <c r="M37">
        <f t="shared" si="10"/>
        <v>1</v>
      </c>
      <c r="N37" s="12">
        <f t="shared" ca="1" si="11"/>
        <v>46090.85657546296</v>
      </c>
      <c r="O37">
        <v>4</v>
      </c>
      <c r="P37" t="s">
        <v>180</v>
      </c>
      <c r="Q37" t="s">
        <v>252</v>
      </c>
    </row>
    <row r="38" spans="1:17" hidden="1">
      <c r="A38" t="s">
        <v>108</v>
      </c>
      <c r="B38" t="s">
        <v>300</v>
      </c>
      <c r="C38" t="s">
        <v>281</v>
      </c>
      <c r="D38" t="s">
        <v>288</v>
      </c>
      <c r="E38" t="str">
        <f t="shared" si="6"/>
        <v>EveAdams</v>
      </c>
      <c r="F38" t="s">
        <v>170</v>
      </c>
      <c r="G38" t="s">
        <v>173</v>
      </c>
      <c r="H38" s="7">
        <v>70096</v>
      </c>
      <c r="I38" s="10">
        <v>42701</v>
      </c>
      <c r="J38">
        <f t="shared" ca="1" si="7"/>
        <v>9</v>
      </c>
      <c r="K38">
        <f t="shared" si="8"/>
        <v>2016</v>
      </c>
      <c r="L38">
        <f t="shared" si="9"/>
        <v>11</v>
      </c>
      <c r="M38">
        <f t="shared" si="10"/>
        <v>1</v>
      </c>
      <c r="N38" s="12">
        <f t="shared" ca="1" si="11"/>
        <v>46090.85657546296</v>
      </c>
      <c r="O38">
        <v>4</v>
      </c>
      <c r="P38" t="s">
        <v>180</v>
      </c>
      <c r="Q38" t="s">
        <v>258</v>
      </c>
    </row>
    <row r="39" spans="1:17" hidden="1">
      <c r="A39" t="s">
        <v>123</v>
      </c>
      <c r="B39" t="s">
        <v>300</v>
      </c>
      <c r="C39" t="s">
        <v>281</v>
      </c>
      <c r="D39" t="s">
        <v>288</v>
      </c>
      <c r="E39" t="str">
        <f t="shared" si="6"/>
        <v>EveAdams</v>
      </c>
      <c r="F39" t="s">
        <v>170</v>
      </c>
      <c r="G39" t="s">
        <v>175</v>
      </c>
      <c r="H39" s="7">
        <v>44627</v>
      </c>
      <c r="I39" s="10">
        <v>42806</v>
      </c>
      <c r="J39">
        <f t="shared" ca="1" si="7"/>
        <v>8</v>
      </c>
      <c r="K39">
        <f t="shared" si="8"/>
        <v>2017</v>
      </c>
      <c r="L39">
        <f t="shared" si="9"/>
        <v>3</v>
      </c>
      <c r="M39">
        <f t="shared" si="10"/>
        <v>1</v>
      </c>
      <c r="N39" s="12">
        <f t="shared" ca="1" si="11"/>
        <v>46090.85657546296</v>
      </c>
      <c r="O39">
        <v>4</v>
      </c>
      <c r="P39" t="s">
        <v>178</v>
      </c>
      <c r="Q39" t="s">
        <v>235</v>
      </c>
    </row>
    <row r="40" spans="1:17" hidden="1">
      <c r="A40" t="s">
        <v>124</v>
      </c>
      <c r="B40" t="s">
        <v>306</v>
      </c>
      <c r="C40" t="s">
        <v>287</v>
      </c>
      <c r="D40" t="s">
        <v>294</v>
      </c>
      <c r="E40" t="str">
        <f t="shared" si="6"/>
        <v>BobJohnson</v>
      </c>
      <c r="F40" t="s">
        <v>167</v>
      </c>
      <c r="G40" t="s">
        <v>172</v>
      </c>
      <c r="H40" s="7">
        <v>92343</v>
      </c>
      <c r="I40" s="10">
        <v>42813</v>
      </c>
      <c r="J40">
        <f t="shared" ca="1" si="7"/>
        <v>8</v>
      </c>
      <c r="K40">
        <f t="shared" si="8"/>
        <v>2017</v>
      </c>
      <c r="L40">
        <f t="shared" si="9"/>
        <v>3</v>
      </c>
      <c r="M40">
        <f t="shared" si="10"/>
        <v>1</v>
      </c>
      <c r="N40" s="12">
        <f t="shared" ca="1" si="11"/>
        <v>46090.85657546296</v>
      </c>
      <c r="O40">
        <v>4</v>
      </c>
      <c r="P40" t="s">
        <v>181</v>
      </c>
      <c r="Q40" t="s">
        <v>203</v>
      </c>
    </row>
    <row r="41" spans="1:17" hidden="1">
      <c r="A41" t="s">
        <v>145</v>
      </c>
      <c r="B41" t="s">
        <v>303</v>
      </c>
      <c r="C41" t="s">
        <v>284</v>
      </c>
      <c r="D41" t="s">
        <v>291</v>
      </c>
      <c r="E41" t="str">
        <f t="shared" si="6"/>
        <v>JaneSmith</v>
      </c>
      <c r="F41" t="s">
        <v>166</v>
      </c>
      <c r="G41" t="s">
        <v>174</v>
      </c>
      <c r="H41" s="7">
        <v>60335</v>
      </c>
      <c r="I41" s="10">
        <v>42960</v>
      </c>
      <c r="J41">
        <f t="shared" ca="1" si="7"/>
        <v>8</v>
      </c>
      <c r="K41">
        <f t="shared" si="8"/>
        <v>2017</v>
      </c>
      <c r="L41">
        <f t="shared" si="9"/>
        <v>8</v>
      </c>
      <c r="M41">
        <f t="shared" si="10"/>
        <v>1</v>
      </c>
      <c r="N41" s="12">
        <f t="shared" ca="1" si="11"/>
        <v>46090.85657546296</v>
      </c>
      <c r="O41">
        <v>4</v>
      </c>
      <c r="P41" t="s">
        <v>179</v>
      </c>
      <c r="Q41" t="s">
        <v>227</v>
      </c>
    </row>
    <row r="42" spans="1:17" hidden="1">
      <c r="A42" t="s">
        <v>147</v>
      </c>
      <c r="B42" t="s">
        <v>305</v>
      </c>
      <c r="C42" t="s">
        <v>286</v>
      </c>
      <c r="D42" t="s">
        <v>293</v>
      </c>
      <c r="E42" t="str">
        <f t="shared" si="6"/>
        <v>ChrisLee</v>
      </c>
      <c r="F42" t="s">
        <v>170</v>
      </c>
      <c r="G42" t="s">
        <v>176</v>
      </c>
      <c r="H42" s="7">
        <v>84750</v>
      </c>
      <c r="I42" s="10">
        <v>42974</v>
      </c>
      <c r="J42">
        <f t="shared" ca="1" si="7"/>
        <v>8</v>
      </c>
      <c r="K42">
        <f t="shared" si="8"/>
        <v>2017</v>
      </c>
      <c r="L42">
        <f t="shared" si="9"/>
        <v>8</v>
      </c>
      <c r="M42">
        <f t="shared" si="10"/>
        <v>1</v>
      </c>
      <c r="N42" s="12">
        <f t="shared" ca="1" si="11"/>
        <v>46090.85657546296</v>
      </c>
      <c r="O42">
        <v>4</v>
      </c>
      <c r="P42" t="s">
        <v>181</v>
      </c>
      <c r="Q42" t="s">
        <v>195</v>
      </c>
    </row>
    <row r="43" spans="1:17" hidden="1">
      <c r="A43" t="s">
        <v>149</v>
      </c>
      <c r="B43" t="s">
        <v>305</v>
      </c>
      <c r="C43" t="s">
        <v>286</v>
      </c>
      <c r="D43" t="s">
        <v>293</v>
      </c>
      <c r="E43" t="str">
        <f t="shared" si="6"/>
        <v>ChrisLee</v>
      </c>
      <c r="F43" t="s">
        <v>168</v>
      </c>
      <c r="G43" t="s">
        <v>173</v>
      </c>
      <c r="H43" s="7">
        <v>66281</v>
      </c>
      <c r="I43" s="10">
        <v>42988</v>
      </c>
      <c r="J43">
        <f t="shared" ca="1" si="7"/>
        <v>8</v>
      </c>
      <c r="K43">
        <f t="shared" si="8"/>
        <v>2017</v>
      </c>
      <c r="L43">
        <f t="shared" si="9"/>
        <v>9</v>
      </c>
      <c r="M43">
        <f t="shared" si="10"/>
        <v>1</v>
      </c>
      <c r="N43" s="12">
        <f t="shared" ca="1" si="11"/>
        <v>46090.85657546296</v>
      </c>
      <c r="O43">
        <v>4</v>
      </c>
      <c r="P43" t="s">
        <v>179</v>
      </c>
      <c r="Q43" t="s">
        <v>178</v>
      </c>
    </row>
    <row r="44" spans="1:17" hidden="1">
      <c r="A44" t="s">
        <v>15</v>
      </c>
      <c r="B44" t="s">
        <v>304</v>
      </c>
      <c r="C44" t="s">
        <v>285</v>
      </c>
      <c r="D44" t="s">
        <v>292</v>
      </c>
      <c r="E44" t="str">
        <f t="shared" si="6"/>
        <v>SamWilson</v>
      </c>
      <c r="F44" t="s">
        <v>168</v>
      </c>
      <c r="G44" t="s">
        <v>178</v>
      </c>
      <c r="H44" s="7">
        <v>67721</v>
      </c>
      <c r="I44" s="10">
        <v>42050</v>
      </c>
      <c r="J44">
        <f t="shared" ca="1" si="7"/>
        <v>11</v>
      </c>
      <c r="K44">
        <f t="shared" si="8"/>
        <v>2015</v>
      </c>
      <c r="L44">
        <f t="shared" si="9"/>
        <v>2</v>
      </c>
      <c r="M44">
        <f t="shared" si="10"/>
        <v>1</v>
      </c>
      <c r="N44" s="12">
        <f t="shared" ca="1" si="11"/>
        <v>46090.85657546296</v>
      </c>
      <c r="O44">
        <v>3</v>
      </c>
      <c r="P44" t="s">
        <v>180</v>
      </c>
      <c r="Q44" t="s">
        <v>185</v>
      </c>
    </row>
    <row r="45" spans="1:17" hidden="1">
      <c r="A45" t="s">
        <v>17</v>
      </c>
      <c r="B45" t="s">
        <v>301</v>
      </c>
      <c r="C45" t="s">
        <v>282</v>
      </c>
      <c r="D45" t="s">
        <v>289</v>
      </c>
      <c r="E45" t="str">
        <f t="shared" si="6"/>
        <v>AliceBrown</v>
      </c>
      <c r="F45" t="s">
        <v>169</v>
      </c>
      <c r="G45" t="s">
        <v>172</v>
      </c>
      <c r="H45" s="7">
        <v>97881</v>
      </c>
      <c r="I45" s="10">
        <v>42064</v>
      </c>
      <c r="J45">
        <f t="shared" ca="1" si="7"/>
        <v>11</v>
      </c>
      <c r="K45">
        <f t="shared" si="8"/>
        <v>2015</v>
      </c>
      <c r="L45">
        <f t="shared" si="9"/>
        <v>3</v>
      </c>
      <c r="M45">
        <f t="shared" si="10"/>
        <v>1</v>
      </c>
      <c r="N45" s="12">
        <f t="shared" ca="1" si="11"/>
        <v>46090.85657546296</v>
      </c>
      <c r="O45">
        <v>3</v>
      </c>
      <c r="P45" t="s">
        <v>181</v>
      </c>
      <c r="Q45" t="s">
        <v>189</v>
      </c>
    </row>
    <row r="46" spans="1:17" hidden="1">
      <c r="A46" t="s">
        <v>18</v>
      </c>
      <c r="B46" t="s">
        <v>305</v>
      </c>
      <c r="C46" t="s">
        <v>286</v>
      </c>
      <c r="D46" t="s">
        <v>293</v>
      </c>
      <c r="E46" t="str">
        <f t="shared" si="6"/>
        <v>ChrisLee</v>
      </c>
      <c r="F46" t="s">
        <v>167</v>
      </c>
      <c r="G46" t="s">
        <v>175</v>
      </c>
      <c r="H46" s="7">
        <v>91846</v>
      </c>
      <c r="I46" s="10">
        <v>42071</v>
      </c>
      <c r="J46">
        <f t="shared" ca="1" si="7"/>
        <v>11</v>
      </c>
      <c r="K46">
        <f t="shared" si="8"/>
        <v>2015</v>
      </c>
      <c r="L46">
        <f t="shared" si="9"/>
        <v>3</v>
      </c>
      <c r="M46">
        <f t="shared" si="10"/>
        <v>1</v>
      </c>
      <c r="N46" s="12">
        <f t="shared" ca="1" si="11"/>
        <v>46090.85657546296</v>
      </c>
      <c r="O46">
        <v>3</v>
      </c>
      <c r="P46" t="s">
        <v>180</v>
      </c>
      <c r="Q46" t="s">
        <v>190</v>
      </c>
    </row>
    <row r="47" spans="1:17" hidden="1">
      <c r="A47" t="s">
        <v>24</v>
      </c>
      <c r="B47" s="3" t="s">
        <v>178</v>
      </c>
      <c r="C47" s="3" t="s">
        <v>178</v>
      </c>
      <c r="D47" t="s">
        <v>178</v>
      </c>
      <c r="E47" t="str">
        <f t="shared" si="6"/>
        <v>Unknown</v>
      </c>
      <c r="F47" t="s">
        <v>169</v>
      </c>
      <c r="G47" t="s">
        <v>174</v>
      </c>
      <c r="H47" s="7">
        <v>92443</v>
      </c>
      <c r="I47" s="10">
        <v>42113</v>
      </c>
      <c r="J47">
        <f t="shared" ca="1" si="7"/>
        <v>10</v>
      </c>
      <c r="K47">
        <f t="shared" si="8"/>
        <v>2015</v>
      </c>
      <c r="L47">
        <f t="shared" si="9"/>
        <v>4</v>
      </c>
      <c r="M47">
        <f t="shared" si="10"/>
        <v>1</v>
      </c>
      <c r="N47" s="12">
        <f t="shared" ca="1" si="11"/>
        <v>46090.85657546296</v>
      </c>
      <c r="O47">
        <v>3</v>
      </c>
      <c r="P47" t="s">
        <v>179</v>
      </c>
      <c r="Q47" t="s">
        <v>195</v>
      </c>
    </row>
    <row r="48" spans="1:17" hidden="1">
      <c r="A48" t="s">
        <v>25</v>
      </c>
      <c r="B48" t="s">
        <v>306</v>
      </c>
      <c r="C48" t="s">
        <v>287</v>
      </c>
      <c r="D48" t="s">
        <v>294</v>
      </c>
      <c r="E48" t="str">
        <f t="shared" si="6"/>
        <v>BobJohnson</v>
      </c>
      <c r="F48" t="s">
        <v>178</v>
      </c>
      <c r="G48" t="s">
        <v>172</v>
      </c>
      <c r="H48" s="7">
        <v>90271</v>
      </c>
      <c r="I48" s="10">
        <v>42120</v>
      </c>
      <c r="J48">
        <f t="shared" ca="1" si="7"/>
        <v>10</v>
      </c>
      <c r="K48">
        <f t="shared" si="8"/>
        <v>2015</v>
      </c>
      <c r="L48">
        <f t="shared" si="9"/>
        <v>4</v>
      </c>
      <c r="M48">
        <f t="shared" si="10"/>
        <v>1</v>
      </c>
      <c r="N48" s="12">
        <f t="shared" ca="1" si="11"/>
        <v>46090.85657546296</v>
      </c>
      <c r="O48">
        <v>3</v>
      </c>
      <c r="P48" t="s">
        <v>178</v>
      </c>
      <c r="Q48" t="s">
        <v>196</v>
      </c>
    </row>
    <row r="49" spans="1:17" hidden="1">
      <c r="A49" t="s">
        <v>27</v>
      </c>
      <c r="B49" t="s">
        <v>301</v>
      </c>
      <c r="C49" t="s">
        <v>282</v>
      </c>
      <c r="D49" t="s">
        <v>289</v>
      </c>
      <c r="E49" t="str">
        <f t="shared" si="6"/>
        <v>AliceBrown</v>
      </c>
      <c r="F49" t="s">
        <v>166</v>
      </c>
      <c r="G49" t="s">
        <v>175</v>
      </c>
      <c r="H49" s="7">
        <v>73602</v>
      </c>
      <c r="I49" s="10">
        <v>42134</v>
      </c>
      <c r="J49">
        <f t="shared" ca="1" si="7"/>
        <v>10</v>
      </c>
      <c r="K49">
        <f t="shared" si="8"/>
        <v>2015</v>
      </c>
      <c r="L49">
        <f t="shared" si="9"/>
        <v>5</v>
      </c>
      <c r="M49">
        <f t="shared" si="10"/>
        <v>1</v>
      </c>
      <c r="N49" s="12">
        <f t="shared" ca="1" si="11"/>
        <v>46090.85657546296</v>
      </c>
      <c r="O49">
        <v>3</v>
      </c>
      <c r="P49" t="s">
        <v>178</v>
      </c>
      <c r="Q49" t="s">
        <v>198</v>
      </c>
    </row>
    <row r="50" spans="1:17" hidden="1">
      <c r="A50" t="s">
        <v>32</v>
      </c>
      <c r="B50" t="s">
        <v>301</v>
      </c>
      <c r="C50" t="s">
        <v>282</v>
      </c>
      <c r="D50" t="s">
        <v>289</v>
      </c>
      <c r="E50" t="str">
        <f t="shared" si="6"/>
        <v>AliceBrown</v>
      </c>
      <c r="F50" t="s">
        <v>170</v>
      </c>
      <c r="G50" t="s">
        <v>175</v>
      </c>
      <c r="H50" s="7">
        <v>36515</v>
      </c>
      <c r="I50" s="10">
        <v>42169</v>
      </c>
      <c r="J50">
        <f t="shared" ca="1" si="7"/>
        <v>10</v>
      </c>
      <c r="K50">
        <f t="shared" si="8"/>
        <v>2015</v>
      </c>
      <c r="L50">
        <f t="shared" si="9"/>
        <v>6</v>
      </c>
      <c r="M50">
        <f t="shared" si="10"/>
        <v>1</v>
      </c>
      <c r="N50" s="12">
        <f t="shared" ca="1" si="11"/>
        <v>46090.85657546296</v>
      </c>
      <c r="O50">
        <v>3</v>
      </c>
      <c r="P50" t="s">
        <v>180</v>
      </c>
      <c r="Q50" t="s">
        <v>203</v>
      </c>
    </row>
    <row r="51" spans="1:17" hidden="1">
      <c r="A51" t="s">
        <v>34</v>
      </c>
      <c r="B51" t="s">
        <v>305</v>
      </c>
      <c r="C51" t="s">
        <v>286</v>
      </c>
      <c r="D51" t="s">
        <v>293</v>
      </c>
      <c r="E51" t="str">
        <f t="shared" si="6"/>
        <v>ChrisLee</v>
      </c>
      <c r="F51" t="s">
        <v>178</v>
      </c>
      <c r="G51" t="s">
        <v>178</v>
      </c>
      <c r="H51" s="7">
        <v>52272</v>
      </c>
      <c r="I51" s="10">
        <v>42183</v>
      </c>
      <c r="J51">
        <f t="shared" ca="1" si="7"/>
        <v>10</v>
      </c>
      <c r="K51">
        <f t="shared" si="8"/>
        <v>2015</v>
      </c>
      <c r="L51">
        <f t="shared" si="9"/>
        <v>6</v>
      </c>
      <c r="M51">
        <f t="shared" si="10"/>
        <v>1</v>
      </c>
      <c r="N51" s="12">
        <f t="shared" ca="1" si="11"/>
        <v>46090.85657546296</v>
      </c>
      <c r="O51">
        <v>3</v>
      </c>
      <c r="P51" t="s">
        <v>178</v>
      </c>
      <c r="Q51" t="s">
        <v>205</v>
      </c>
    </row>
    <row r="52" spans="1:17" hidden="1">
      <c r="A52" t="s">
        <v>36</v>
      </c>
      <c r="B52" t="s">
        <v>301</v>
      </c>
      <c r="C52" t="s">
        <v>282</v>
      </c>
      <c r="D52" t="s">
        <v>289</v>
      </c>
      <c r="E52" t="str">
        <f t="shared" si="6"/>
        <v>AliceBrown</v>
      </c>
      <c r="F52" t="s">
        <v>169</v>
      </c>
      <c r="G52" t="s">
        <v>175</v>
      </c>
      <c r="H52" s="7">
        <v>41448</v>
      </c>
      <c r="I52" s="10">
        <v>42197</v>
      </c>
      <c r="J52">
        <f t="shared" ca="1" si="7"/>
        <v>10</v>
      </c>
      <c r="K52">
        <f t="shared" si="8"/>
        <v>2015</v>
      </c>
      <c r="L52">
        <f t="shared" si="9"/>
        <v>7</v>
      </c>
      <c r="M52">
        <f t="shared" si="10"/>
        <v>1</v>
      </c>
      <c r="N52" s="12">
        <f t="shared" ca="1" si="11"/>
        <v>46090.85657546296</v>
      </c>
      <c r="O52">
        <v>3</v>
      </c>
      <c r="P52" t="s">
        <v>179</v>
      </c>
      <c r="Q52" t="s">
        <v>207</v>
      </c>
    </row>
    <row r="53" spans="1:17" hidden="1">
      <c r="A53" t="s">
        <v>40</v>
      </c>
      <c r="B53" t="s">
        <v>300</v>
      </c>
      <c r="C53" t="s">
        <v>281</v>
      </c>
      <c r="D53" t="s">
        <v>288</v>
      </c>
      <c r="E53" t="str">
        <f t="shared" si="6"/>
        <v>EveAdams</v>
      </c>
      <c r="F53" t="s">
        <v>167</v>
      </c>
      <c r="G53" t="s">
        <v>172</v>
      </c>
      <c r="H53" s="7">
        <v>92299</v>
      </c>
      <c r="I53" s="10">
        <v>42225</v>
      </c>
      <c r="J53">
        <f t="shared" ca="1" si="7"/>
        <v>10</v>
      </c>
      <c r="K53">
        <f t="shared" si="8"/>
        <v>2015</v>
      </c>
      <c r="L53">
        <f t="shared" si="9"/>
        <v>8</v>
      </c>
      <c r="M53">
        <f t="shared" si="10"/>
        <v>1</v>
      </c>
      <c r="N53" s="12">
        <f t="shared" ca="1" si="11"/>
        <v>46090.85657546296</v>
      </c>
      <c r="O53">
        <v>3</v>
      </c>
      <c r="P53" t="s">
        <v>180</v>
      </c>
      <c r="Q53" t="s">
        <v>211</v>
      </c>
    </row>
    <row r="54" spans="1:17" hidden="1">
      <c r="A54" t="s">
        <v>41</v>
      </c>
      <c r="B54" t="s">
        <v>304</v>
      </c>
      <c r="C54" t="s">
        <v>285</v>
      </c>
      <c r="D54" t="s">
        <v>292</v>
      </c>
      <c r="E54" t="str">
        <f t="shared" si="6"/>
        <v>SamWilson</v>
      </c>
      <c r="F54" t="s">
        <v>167</v>
      </c>
      <c r="G54" s="3" t="s">
        <v>178</v>
      </c>
      <c r="H54" s="7">
        <v>95586</v>
      </c>
      <c r="I54" s="10">
        <v>42232</v>
      </c>
      <c r="J54">
        <f t="shared" ca="1" si="7"/>
        <v>10</v>
      </c>
      <c r="K54">
        <f t="shared" si="8"/>
        <v>2015</v>
      </c>
      <c r="L54">
        <f t="shared" si="9"/>
        <v>8</v>
      </c>
      <c r="M54">
        <f t="shared" si="10"/>
        <v>1</v>
      </c>
      <c r="N54" s="12">
        <f t="shared" ca="1" si="11"/>
        <v>46090.85657546296</v>
      </c>
      <c r="O54">
        <v>3</v>
      </c>
      <c r="P54" t="s">
        <v>179</v>
      </c>
      <c r="Q54" t="s">
        <v>212</v>
      </c>
    </row>
    <row r="55" spans="1:17" hidden="1">
      <c r="A55" t="s">
        <v>42</v>
      </c>
      <c r="B55" t="s">
        <v>305</v>
      </c>
      <c r="C55" t="s">
        <v>286</v>
      </c>
      <c r="D55" t="s">
        <v>293</v>
      </c>
      <c r="E55" t="str">
        <f t="shared" si="6"/>
        <v>ChrisLee</v>
      </c>
      <c r="F55" t="s">
        <v>178</v>
      </c>
      <c r="G55" t="s">
        <v>173</v>
      </c>
      <c r="H55" s="7">
        <v>95367</v>
      </c>
      <c r="I55" s="10">
        <v>42239</v>
      </c>
      <c r="J55">
        <f t="shared" ca="1" si="7"/>
        <v>10</v>
      </c>
      <c r="K55">
        <f t="shared" si="8"/>
        <v>2015</v>
      </c>
      <c r="L55">
        <f t="shared" si="9"/>
        <v>8</v>
      </c>
      <c r="M55">
        <f t="shared" si="10"/>
        <v>1</v>
      </c>
      <c r="N55" s="12">
        <f t="shared" ca="1" si="11"/>
        <v>46090.85657546296</v>
      </c>
      <c r="O55">
        <v>3</v>
      </c>
      <c r="P55" t="s">
        <v>180</v>
      </c>
      <c r="Q55" t="s">
        <v>213</v>
      </c>
    </row>
    <row r="56" spans="1:17" hidden="1">
      <c r="A56" t="s">
        <v>43</v>
      </c>
      <c r="B56" t="s">
        <v>302</v>
      </c>
      <c r="C56" t="s">
        <v>283</v>
      </c>
      <c r="D56" t="s">
        <v>290</v>
      </c>
      <c r="E56" t="str">
        <f t="shared" si="6"/>
        <v>JohnDoe</v>
      </c>
      <c r="F56" t="s">
        <v>168</v>
      </c>
      <c r="G56" t="s">
        <v>176</v>
      </c>
      <c r="H56" s="7">
        <v>79549</v>
      </c>
      <c r="I56" s="10">
        <v>42246</v>
      </c>
      <c r="J56">
        <f t="shared" ca="1" si="7"/>
        <v>10</v>
      </c>
      <c r="K56">
        <f t="shared" si="8"/>
        <v>2015</v>
      </c>
      <c r="L56">
        <f t="shared" si="9"/>
        <v>8</v>
      </c>
      <c r="M56">
        <f t="shared" si="10"/>
        <v>1</v>
      </c>
      <c r="N56" s="12">
        <f t="shared" ca="1" si="11"/>
        <v>46090.85657546296</v>
      </c>
      <c r="O56">
        <v>3</v>
      </c>
      <c r="P56" t="s">
        <v>178</v>
      </c>
      <c r="Q56" t="s">
        <v>214</v>
      </c>
    </row>
    <row r="57" spans="1:17" hidden="1">
      <c r="A57" t="s">
        <v>45</v>
      </c>
      <c r="B57" t="s">
        <v>301</v>
      </c>
      <c r="C57" t="s">
        <v>282</v>
      </c>
      <c r="D57" t="s">
        <v>289</v>
      </c>
      <c r="E57" t="str">
        <f t="shared" si="6"/>
        <v>AliceBrown</v>
      </c>
      <c r="F57" t="s">
        <v>169</v>
      </c>
      <c r="G57" t="s">
        <v>173</v>
      </c>
      <c r="H57" s="7">
        <v>89781</v>
      </c>
      <c r="I57" s="10">
        <v>42260</v>
      </c>
      <c r="J57">
        <f t="shared" ca="1" si="7"/>
        <v>10</v>
      </c>
      <c r="K57">
        <f t="shared" si="8"/>
        <v>2015</v>
      </c>
      <c r="L57">
        <f t="shared" si="9"/>
        <v>9</v>
      </c>
      <c r="M57">
        <f t="shared" si="10"/>
        <v>1</v>
      </c>
      <c r="N57" s="12">
        <f t="shared" ca="1" si="11"/>
        <v>46090.85657546296</v>
      </c>
      <c r="O57">
        <v>3</v>
      </c>
      <c r="P57" t="s">
        <v>181</v>
      </c>
      <c r="Q57" t="s">
        <v>215</v>
      </c>
    </row>
    <row r="58" spans="1:17" hidden="1">
      <c r="A58" t="s">
        <v>46</v>
      </c>
      <c r="B58" t="s">
        <v>301</v>
      </c>
      <c r="C58" t="s">
        <v>282</v>
      </c>
      <c r="D58" t="s">
        <v>289</v>
      </c>
      <c r="E58" t="str">
        <f t="shared" si="6"/>
        <v>AliceBrown</v>
      </c>
      <c r="F58" t="s">
        <v>167</v>
      </c>
      <c r="G58" s="3" t="s">
        <v>178</v>
      </c>
      <c r="H58" s="7">
        <v>64796</v>
      </c>
      <c r="I58" s="10">
        <v>42267</v>
      </c>
      <c r="J58">
        <f t="shared" ca="1" si="7"/>
        <v>10</v>
      </c>
      <c r="K58">
        <f t="shared" si="8"/>
        <v>2015</v>
      </c>
      <c r="L58">
        <f t="shared" si="9"/>
        <v>9</v>
      </c>
      <c r="M58">
        <f t="shared" si="10"/>
        <v>1</v>
      </c>
      <c r="N58" s="12">
        <f t="shared" ca="1" si="11"/>
        <v>46090.85657546296</v>
      </c>
      <c r="O58">
        <v>3</v>
      </c>
      <c r="P58" t="s">
        <v>179</v>
      </c>
      <c r="Q58" t="s">
        <v>216</v>
      </c>
    </row>
    <row r="59" spans="1:17" hidden="1">
      <c r="A59" t="s">
        <v>48</v>
      </c>
      <c r="B59" t="s">
        <v>305</v>
      </c>
      <c r="C59" t="s">
        <v>286</v>
      </c>
      <c r="D59" t="s">
        <v>293</v>
      </c>
      <c r="E59" t="str">
        <f t="shared" si="6"/>
        <v>ChrisLee</v>
      </c>
      <c r="F59" t="s">
        <v>167</v>
      </c>
      <c r="G59" t="s">
        <v>175</v>
      </c>
      <c r="H59" s="7">
        <v>48224</v>
      </c>
      <c r="I59" s="10">
        <v>42281</v>
      </c>
      <c r="J59">
        <f t="shared" ca="1" si="7"/>
        <v>10</v>
      </c>
      <c r="K59">
        <f t="shared" si="8"/>
        <v>2015</v>
      </c>
      <c r="L59">
        <f t="shared" si="9"/>
        <v>10</v>
      </c>
      <c r="M59">
        <f t="shared" si="10"/>
        <v>1</v>
      </c>
      <c r="N59" s="12">
        <f t="shared" ca="1" si="11"/>
        <v>46090.85657546296</v>
      </c>
      <c r="O59">
        <v>3</v>
      </c>
      <c r="P59" t="s">
        <v>178</v>
      </c>
      <c r="Q59" t="s">
        <v>218</v>
      </c>
    </row>
    <row r="60" spans="1:17" hidden="1">
      <c r="A60" t="s">
        <v>50</v>
      </c>
      <c r="B60" t="s">
        <v>301</v>
      </c>
      <c r="C60" t="s">
        <v>282</v>
      </c>
      <c r="D60" t="s">
        <v>289</v>
      </c>
      <c r="E60" t="str">
        <f t="shared" si="6"/>
        <v>AliceBrown</v>
      </c>
      <c r="F60" t="s">
        <v>169</v>
      </c>
      <c r="G60" t="s">
        <v>172</v>
      </c>
      <c r="H60" s="7">
        <v>33956</v>
      </c>
      <c r="I60" s="10">
        <v>42295</v>
      </c>
      <c r="J60">
        <f t="shared" ca="1" si="7"/>
        <v>10</v>
      </c>
      <c r="K60">
        <f t="shared" si="8"/>
        <v>2015</v>
      </c>
      <c r="L60">
        <f t="shared" si="9"/>
        <v>10</v>
      </c>
      <c r="M60">
        <f t="shared" si="10"/>
        <v>1</v>
      </c>
      <c r="N60" s="12">
        <f t="shared" ca="1" si="11"/>
        <v>46090.85657546296</v>
      </c>
      <c r="O60">
        <v>3</v>
      </c>
      <c r="P60" t="s">
        <v>178</v>
      </c>
      <c r="Q60" t="s">
        <v>220</v>
      </c>
    </row>
    <row r="61" spans="1:17" hidden="1">
      <c r="A61" t="s">
        <v>52</v>
      </c>
      <c r="B61" t="s">
        <v>301</v>
      </c>
      <c r="C61" t="s">
        <v>282</v>
      </c>
      <c r="D61" t="s">
        <v>289</v>
      </c>
      <c r="E61" t="str">
        <f t="shared" si="6"/>
        <v>AliceBrown</v>
      </c>
      <c r="F61" t="s">
        <v>170</v>
      </c>
      <c r="G61" t="s">
        <v>176</v>
      </c>
      <c r="H61" s="7">
        <v>35326</v>
      </c>
      <c r="I61" s="10">
        <v>42309</v>
      </c>
      <c r="J61">
        <f t="shared" ca="1" si="7"/>
        <v>10</v>
      </c>
      <c r="K61">
        <f t="shared" si="8"/>
        <v>2015</v>
      </c>
      <c r="L61">
        <f t="shared" si="9"/>
        <v>11</v>
      </c>
      <c r="M61">
        <f t="shared" si="10"/>
        <v>1</v>
      </c>
      <c r="N61" s="12">
        <f t="shared" ca="1" si="11"/>
        <v>46090.85657546296</v>
      </c>
      <c r="O61">
        <v>3</v>
      </c>
      <c r="P61" t="s">
        <v>181</v>
      </c>
      <c r="Q61" t="s">
        <v>222</v>
      </c>
    </row>
    <row r="62" spans="1:17" hidden="1">
      <c r="A62" t="s">
        <v>54</v>
      </c>
      <c r="B62" s="3" t="s">
        <v>178</v>
      </c>
      <c r="C62" s="3" t="s">
        <v>178</v>
      </c>
      <c r="D62" t="s">
        <v>178</v>
      </c>
      <c r="E62" t="str">
        <f t="shared" si="6"/>
        <v>Unknown</v>
      </c>
      <c r="F62" t="s">
        <v>167</v>
      </c>
      <c r="G62" s="3" t="s">
        <v>178</v>
      </c>
      <c r="H62" s="7">
        <v>58962</v>
      </c>
      <c r="I62" s="10">
        <v>42323</v>
      </c>
      <c r="J62">
        <f t="shared" ca="1" si="7"/>
        <v>10</v>
      </c>
      <c r="K62">
        <f t="shared" si="8"/>
        <v>2015</v>
      </c>
      <c r="L62">
        <f t="shared" si="9"/>
        <v>11</v>
      </c>
      <c r="M62">
        <f t="shared" si="10"/>
        <v>1</v>
      </c>
      <c r="N62" s="12">
        <f t="shared" ca="1" si="11"/>
        <v>46090.85657546296</v>
      </c>
      <c r="O62">
        <v>3</v>
      </c>
      <c r="P62" t="s">
        <v>179</v>
      </c>
      <c r="Q62" t="s">
        <v>183</v>
      </c>
    </row>
    <row r="63" spans="1:17" hidden="1">
      <c r="A63" t="s">
        <v>55</v>
      </c>
      <c r="B63" t="s">
        <v>305</v>
      </c>
      <c r="C63" t="s">
        <v>286</v>
      </c>
      <c r="D63" t="s">
        <v>293</v>
      </c>
      <c r="E63" t="str">
        <f t="shared" si="6"/>
        <v>ChrisLee</v>
      </c>
      <c r="F63" t="s">
        <v>169</v>
      </c>
      <c r="G63" t="s">
        <v>172</v>
      </c>
      <c r="H63" s="7">
        <v>92701</v>
      </c>
      <c r="I63" s="10">
        <v>42330</v>
      </c>
      <c r="J63">
        <f t="shared" ca="1" si="7"/>
        <v>10</v>
      </c>
      <c r="K63">
        <f t="shared" si="8"/>
        <v>2015</v>
      </c>
      <c r="L63">
        <f t="shared" si="9"/>
        <v>11</v>
      </c>
      <c r="M63">
        <f t="shared" si="10"/>
        <v>1</v>
      </c>
      <c r="N63" s="12">
        <f t="shared" ca="1" si="11"/>
        <v>46090.85657546296</v>
      </c>
      <c r="O63">
        <v>3</v>
      </c>
      <c r="P63" t="s">
        <v>179</v>
      </c>
      <c r="Q63" t="s">
        <v>224</v>
      </c>
    </row>
    <row r="64" spans="1:17" hidden="1">
      <c r="A64" t="s">
        <v>62</v>
      </c>
      <c r="B64" t="s">
        <v>300</v>
      </c>
      <c r="C64" t="s">
        <v>281</v>
      </c>
      <c r="D64" t="s">
        <v>288</v>
      </c>
      <c r="E64" t="str">
        <f t="shared" si="6"/>
        <v>EveAdams</v>
      </c>
      <c r="F64" t="s">
        <v>166</v>
      </c>
      <c r="G64" t="s">
        <v>175</v>
      </c>
      <c r="H64" s="7">
        <v>33352</v>
      </c>
      <c r="I64" s="10">
        <v>42379</v>
      </c>
      <c r="J64">
        <f t="shared" ca="1" si="7"/>
        <v>10</v>
      </c>
      <c r="K64">
        <f t="shared" si="8"/>
        <v>2016</v>
      </c>
      <c r="L64">
        <f t="shared" si="9"/>
        <v>1</v>
      </c>
      <c r="M64">
        <f t="shared" si="10"/>
        <v>1</v>
      </c>
      <c r="N64" s="12">
        <f t="shared" ca="1" si="11"/>
        <v>46090.85657546296</v>
      </c>
      <c r="O64">
        <v>3</v>
      </c>
      <c r="P64" t="s">
        <v>181</v>
      </c>
      <c r="Q64" t="s">
        <v>200</v>
      </c>
    </row>
    <row r="65" spans="1:17" hidden="1">
      <c r="A65" t="s">
        <v>66</v>
      </c>
      <c r="B65" t="s">
        <v>300</v>
      </c>
      <c r="C65" t="s">
        <v>281</v>
      </c>
      <c r="D65" t="s">
        <v>288</v>
      </c>
      <c r="E65" t="str">
        <f t="shared" si="6"/>
        <v>EveAdams</v>
      </c>
      <c r="F65" t="s">
        <v>178</v>
      </c>
      <c r="G65" t="s">
        <v>174</v>
      </c>
      <c r="H65" s="7">
        <v>96949</v>
      </c>
      <c r="I65" s="10">
        <v>42407</v>
      </c>
      <c r="J65">
        <f t="shared" ca="1" si="7"/>
        <v>10</v>
      </c>
      <c r="K65">
        <f t="shared" si="8"/>
        <v>2016</v>
      </c>
      <c r="L65">
        <f t="shared" si="9"/>
        <v>2</v>
      </c>
      <c r="M65">
        <f t="shared" si="10"/>
        <v>1</v>
      </c>
      <c r="N65" s="12">
        <f t="shared" ca="1" si="11"/>
        <v>46090.85657546296</v>
      </c>
      <c r="O65">
        <v>3</v>
      </c>
      <c r="P65" t="s">
        <v>178</v>
      </c>
      <c r="Q65" t="s">
        <v>207</v>
      </c>
    </row>
    <row r="66" spans="1:17" hidden="1">
      <c r="A66" t="s">
        <v>75</v>
      </c>
      <c r="B66" t="s">
        <v>304</v>
      </c>
      <c r="C66" t="s">
        <v>285</v>
      </c>
      <c r="D66" t="s">
        <v>292</v>
      </c>
      <c r="E66" t="str">
        <f t="shared" ref="E66:E97" si="12">TRIM(B66)</f>
        <v>SamWilson</v>
      </c>
      <c r="F66" t="s">
        <v>178</v>
      </c>
      <c r="G66" t="s">
        <v>176</v>
      </c>
      <c r="H66" s="7">
        <v>96365</v>
      </c>
      <c r="I66" s="10">
        <v>42470</v>
      </c>
      <c r="J66">
        <f t="shared" ref="J66:J97" ca="1" si="13">IF(I66="Unknown","Unknown",DATEDIF(I66,TODAY(),"Y"))</f>
        <v>9</v>
      </c>
      <c r="K66">
        <f t="shared" ref="K66:K97" si="14">IF(I66="Unknown","Unknown",YEAR(I66))</f>
        <v>2016</v>
      </c>
      <c r="L66">
        <f t="shared" ref="L66:L97" si="15">IF(I66="Unknown","Unknown",MONTH(I66))</f>
        <v>4</v>
      </c>
      <c r="M66">
        <f t="shared" ref="M66:M97" si="16">IF(I66="Unknown","Unknown",WEEKDAY(I66))</f>
        <v>1</v>
      </c>
      <c r="N66" s="12">
        <f t="shared" ref="N66:N97" ca="1" si="17">NOW()</f>
        <v>46090.85657546296</v>
      </c>
      <c r="O66">
        <v>3</v>
      </c>
      <c r="P66" t="s">
        <v>179</v>
      </c>
      <c r="Q66" t="s">
        <v>238</v>
      </c>
    </row>
    <row r="67" spans="1:17" hidden="1">
      <c r="A67" t="s">
        <v>76</v>
      </c>
      <c r="B67" t="s">
        <v>301</v>
      </c>
      <c r="C67" t="s">
        <v>282</v>
      </c>
      <c r="D67" t="s">
        <v>289</v>
      </c>
      <c r="E67" t="str">
        <f t="shared" si="12"/>
        <v>AliceBrown</v>
      </c>
      <c r="F67" t="s">
        <v>168</v>
      </c>
      <c r="G67" t="s">
        <v>174</v>
      </c>
      <c r="H67" s="7">
        <v>61942</v>
      </c>
      <c r="I67" s="10">
        <v>42477</v>
      </c>
      <c r="J67">
        <f t="shared" ca="1" si="13"/>
        <v>9</v>
      </c>
      <c r="K67">
        <f t="shared" si="14"/>
        <v>2016</v>
      </c>
      <c r="L67">
        <f t="shared" si="15"/>
        <v>4</v>
      </c>
      <c r="M67">
        <f t="shared" si="16"/>
        <v>1</v>
      </c>
      <c r="N67" s="12">
        <f t="shared" ca="1" si="17"/>
        <v>46090.85657546296</v>
      </c>
      <c r="O67">
        <v>3</v>
      </c>
      <c r="P67" t="s">
        <v>181</v>
      </c>
      <c r="Q67" t="s">
        <v>239</v>
      </c>
    </row>
    <row r="68" spans="1:17" hidden="1">
      <c r="A68" t="s">
        <v>80</v>
      </c>
      <c r="B68" t="s">
        <v>300</v>
      </c>
      <c r="C68" t="s">
        <v>281</v>
      </c>
      <c r="D68" t="s">
        <v>288</v>
      </c>
      <c r="E68" t="str">
        <f t="shared" si="12"/>
        <v>EveAdams</v>
      </c>
      <c r="F68" t="s">
        <v>170</v>
      </c>
      <c r="G68" t="s">
        <v>173</v>
      </c>
      <c r="H68" s="7">
        <v>85065</v>
      </c>
      <c r="I68" s="10">
        <v>42505</v>
      </c>
      <c r="J68">
        <f t="shared" ca="1" si="13"/>
        <v>9</v>
      </c>
      <c r="K68">
        <f t="shared" si="14"/>
        <v>2016</v>
      </c>
      <c r="L68">
        <f t="shared" si="15"/>
        <v>5</v>
      </c>
      <c r="M68">
        <f t="shared" si="16"/>
        <v>1</v>
      </c>
      <c r="N68" s="12">
        <f t="shared" ca="1" si="17"/>
        <v>46090.85657546296</v>
      </c>
      <c r="O68">
        <v>3</v>
      </c>
      <c r="P68" t="s">
        <v>178</v>
      </c>
      <c r="Q68" t="s">
        <v>241</v>
      </c>
    </row>
    <row r="69" spans="1:17" hidden="1">
      <c r="A69" t="s">
        <v>81</v>
      </c>
      <c r="B69" t="s">
        <v>306</v>
      </c>
      <c r="C69" t="s">
        <v>287</v>
      </c>
      <c r="D69" t="s">
        <v>294</v>
      </c>
      <c r="E69" t="str">
        <f t="shared" si="12"/>
        <v>BobJohnson</v>
      </c>
      <c r="F69" t="s">
        <v>170</v>
      </c>
      <c r="G69" t="s">
        <v>174</v>
      </c>
      <c r="H69" s="7">
        <v>56512</v>
      </c>
      <c r="I69" s="10">
        <v>42512</v>
      </c>
      <c r="J69">
        <f t="shared" ca="1" si="13"/>
        <v>9</v>
      </c>
      <c r="K69">
        <f t="shared" si="14"/>
        <v>2016</v>
      </c>
      <c r="L69">
        <f t="shared" si="15"/>
        <v>5</v>
      </c>
      <c r="M69">
        <f t="shared" si="16"/>
        <v>1</v>
      </c>
      <c r="N69" s="12">
        <f t="shared" ca="1" si="17"/>
        <v>46090.85657546296</v>
      </c>
      <c r="O69">
        <v>3</v>
      </c>
      <c r="P69" t="s">
        <v>179</v>
      </c>
      <c r="Q69" t="s">
        <v>190</v>
      </c>
    </row>
    <row r="70" spans="1:17" hidden="1">
      <c r="A70" t="s">
        <v>83</v>
      </c>
      <c r="B70" t="s">
        <v>304</v>
      </c>
      <c r="C70" t="s">
        <v>285</v>
      </c>
      <c r="D70" t="s">
        <v>292</v>
      </c>
      <c r="E70" t="str">
        <f t="shared" si="12"/>
        <v>SamWilson</v>
      </c>
      <c r="F70" t="s">
        <v>178</v>
      </c>
      <c r="G70" t="s">
        <v>172</v>
      </c>
      <c r="H70" s="7">
        <v>41243</v>
      </c>
      <c r="I70" s="10">
        <v>42526</v>
      </c>
      <c r="J70">
        <f t="shared" ca="1" si="13"/>
        <v>9</v>
      </c>
      <c r="K70">
        <f t="shared" si="14"/>
        <v>2016</v>
      </c>
      <c r="L70">
        <f t="shared" si="15"/>
        <v>6</v>
      </c>
      <c r="M70">
        <f t="shared" si="16"/>
        <v>1</v>
      </c>
      <c r="N70" s="12">
        <f t="shared" ca="1" si="17"/>
        <v>46090.85657546296</v>
      </c>
      <c r="O70">
        <v>3</v>
      </c>
      <c r="P70" t="s">
        <v>178</v>
      </c>
      <c r="Q70" t="s">
        <v>211</v>
      </c>
    </row>
    <row r="71" spans="1:17" hidden="1">
      <c r="A71" t="s">
        <v>89</v>
      </c>
      <c r="B71" t="s">
        <v>300</v>
      </c>
      <c r="C71" t="s">
        <v>281</v>
      </c>
      <c r="D71" t="s">
        <v>288</v>
      </c>
      <c r="E71" t="str">
        <f t="shared" si="12"/>
        <v>EveAdams</v>
      </c>
      <c r="F71" t="s">
        <v>170</v>
      </c>
      <c r="G71" t="s">
        <v>174</v>
      </c>
      <c r="H71" s="7">
        <v>66281</v>
      </c>
      <c r="I71" s="10" t="s">
        <v>178</v>
      </c>
      <c r="J71" t="str">
        <f t="shared" ca="1" si="13"/>
        <v>Unknown</v>
      </c>
      <c r="K71" t="str">
        <f t="shared" si="14"/>
        <v>Unknown</v>
      </c>
      <c r="L71" t="str">
        <f t="shared" si="15"/>
        <v>Unknown</v>
      </c>
      <c r="M71" t="str">
        <f t="shared" si="16"/>
        <v>Unknown</v>
      </c>
      <c r="N71" s="12">
        <f t="shared" ca="1" si="17"/>
        <v>46090.85657546296</v>
      </c>
      <c r="O71">
        <v>3</v>
      </c>
      <c r="P71" t="s">
        <v>178</v>
      </c>
      <c r="Q71" t="s">
        <v>208</v>
      </c>
    </row>
    <row r="72" spans="1:17" hidden="1">
      <c r="A72" t="s">
        <v>90</v>
      </c>
      <c r="B72" t="s">
        <v>303</v>
      </c>
      <c r="C72" t="s">
        <v>284</v>
      </c>
      <c r="D72" t="s">
        <v>291</v>
      </c>
      <c r="E72" t="str">
        <f t="shared" si="12"/>
        <v>JaneSmith</v>
      </c>
      <c r="F72" t="s">
        <v>168</v>
      </c>
      <c r="G72" t="s">
        <v>173</v>
      </c>
      <c r="H72" s="7">
        <v>95621</v>
      </c>
      <c r="I72" s="10">
        <v>42575</v>
      </c>
      <c r="J72">
        <f t="shared" ca="1" si="13"/>
        <v>9</v>
      </c>
      <c r="K72">
        <f t="shared" si="14"/>
        <v>2016</v>
      </c>
      <c r="L72">
        <f t="shared" si="15"/>
        <v>7</v>
      </c>
      <c r="M72">
        <f t="shared" si="16"/>
        <v>1</v>
      </c>
      <c r="N72" s="12">
        <f t="shared" ca="1" si="17"/>
        <v>46090.85657546296</v>
      </c>
      <c r="O72">
        <v>3</v>
      </c>
      <c r="P72" t="s">
        <v>181</v>
      </c>
      <c r="Q72" t="s">
        <v>246</v>
      </c>
    </row>
    <row r="73" spans="1:17" hidden="1">
      <c r="A73" t="s">
        <v>92</v>
      </c>
      <c r="B73" t="s">
        <v>304</v>
      </c>
      <c r="C73" t="s">
        <v>285</v>
      </c>
      <c r="D73" t="s">
        <v>292</v>
      </c>
      <c r="E73" t="str">
        <f t="shared" si="12"/>
        <v>SamWilson</v>
      </c>
      <c r="F73" t="s">
        <v>168</v>
      </c>
      <c r="G73" t="s">
        <v>174</v>
      </c>
      <c r="H73" s="7">
        <v>99621</v>
      </c>
      <c r="I73" s="10">
        <v>42589</v>
      </c>
      <c r="J73">
        <f t="shared" ca="1" si="13"/>
        <v>9</v>
      </c>
      <c r="K73">
        <f t="shared" si="14"/>
        <v>2016</v>
      </c>
      <c r="L73">
        <f t="shared" si="15"/>
        <v>8</v>
      </c>
      <c r="M73">
        <f t="shared" si="16"/>
        <v>1</v>
      </c>
      <c r="N73" s="12">
        <f t="shared" ca="1" si="17"/>
        <v>46090.85657546296</v>
      </c>
      <c r="O73">
        <v>3</v>
      </c>
      <c r="P73" t="s">
        <v>179</v>
      </c>
      <c r="Q73" t="s">
        <v>248</v>
      </c>
    </row>
    <row r="74" spans="1:17" hidden="1">
      <c r="A74" t="s">
        <v>97</v>
      </c>
      <c r="B74" t="s">
        <v>305</v>
      </c>
      <c r="C74" t="s">
        <v>286</v>
      </c>
      <c r="D74" t="s">
        <v>293</v>
      </c>
      <c r="E74" t="str">
        <f t="shared" si="12"/>
        <v>ChrisLee</v>
      </c>
      <c r="F74" t="s">
        <v>169</v>
      </c>
      <c r="G74" s="3" t="s">
        <v>178</v>
      </c>
      <c r="H74" s="7">
        <v>63434</v>
      </c>
      <c r="I74" s="10">
        <v>42624</v>
      </c>
      <c r="J74">
        <f t="shared" ca="1" si="13"/>
        <v>9</v>
      </c>
      <c r="K74">
        <f t="shared" si="14"/>
        <v>2016</v>
      </c>
      <c r="L74">
        <f t="shared" si="15"/>
        <v>9</v>
      </c>
      <c r="M74">
        <f t="shared" si="16"/>
        <v>1</v>
      </c>
      <c r="N74" s="12">
        <f t="shared" ca="1" si="17"/>
        <v>46090.85657546296</v>
      </c>
      <c r="O74">
        <v>3</v>
      </c>
      <c r="P74" t="s">
        <v>178</v>
      </c>
      <c r="Q74" t="s">
        <v>251</v>
      </c>
    </row>
    <row r="75" spans="1:17" hidden="1">
      <c r="A75" t="s">
        <v>98</v>
      </c>
      <c r="B75" t="s">
        <v>303</v>
      </c>
      <c r="C75" t="s">
        <v>284</v>
      </c>
      <c r="D75" t="s">
        <v>291</v>
      </c>
      <c r="E75" t="str">
        <f t="shared" si="12"/>
        <v>JaneSmith</v>
      </c>
      <c r="F75" t="s">
        <v>178</v>
      </c>
      <c r="G75" t="s">
        <v>176</v>
      </c>
      <c r="H75" s="7">
        <v>38830</v>
      </c>
      <c r="I75" s="10">
        <v>42631</v>
      </c>
      <c r="J75">
        <f t="shared" ca="1" si="13"/>
        <v>9</v>
      </c>
      <c r="K75">
        <f t="shared" si="14"/>
        <v>2016</v>
      </c>
      <c r="L75">
        <f t="shared" si="15"/>
        <v>9</v>
      </c>
      <c r="M75">
        <f t="shared" si="16"/>
        <v>1</v>
      </c>
      <c r="N75" s="12">
        <f t="shared" ca="1" si="17"/>
        <v>46090.85657546296</v>
      </c>
      <c r="O75">
        <v>3</v>
      </c>
      <c r="P75" t="s">
        <v>179</v>
      </c>
      <c r="Q75" t="s">
        <v>203</v>
      </c>
    </row>
    <row r="76" spans="1:17" hidden="1">
      <c r="A76" t="s">
        <v>99</v>
      </c>
      <c r="B76" s="3" t="s">
        <v>178</v>
      </c>
      <c r="C76" s="3" t="s">
        <v>178</v>
      </c>
      <c r="D76" t="s">
        <v>178</v>
      </c>
      <c r="E76" t="str">
        <f t="shared" si="12"/>
        <v>Unknown</v>
      </c>
      <c r="F76" t="s">
        <v>170</v>
      </c>
      <c r="G76" t="s">
        <v>175</v>
      </c>
      <c r="H76" s="7">
        <v>50741</v>
      </c>
      <c r="I76" s="10">
        <v>42638</v>
      </c>
      <c r="J76">
        <f t="shared" ca="1" si="13"/>
        <v>9</v>
      </c>
      <c r="K76">
        <f t="shared" si="14"/>
        <v>2016</v>
      </c>
      <c r="L76">
        <f t="shared" si="15"/>
        <v>9</v>
      </c>
      <c r="M76">
        <f t="shared" si="16"/>
        <v>1</v>
      </c>
      <c r="N76" s="12">
        <f t="shared" ca="1" si="17"/>
        <v>46090.85657546296</v>
      </c>
      <c r="O76">
        <v>3</v>
      </c>
      <c r="P76" t="s">
        <v>178</v>
      </c>
      <c r="Q76" t="s">
        <v>240</v>
      </c>
    </row>
    <row r="77" spans="1:17" hidden="1">
      <c r="A77" t="s">
        <v>103</v>
      </c>
      <c r="B77" t="s">
        <v>306</v>
      </c>
      <c r="C77" t="s">
        <v>287</v>
      </c>
      <c r="D77" t="s">
        <v>294</v>
      </c>
      <c r="E77" t="str">
        <f t="shared" si="12"/>
        <v>BobJohnson</v>
      </c>
      <c r="F77" t="s">
        <v>169</v>
      </c>
      <c r="G77" t="s">
        <v>174</v>
      </c>
      <c r="H77" s="7">
        <v>33264</v>
      </c>
      <c r="I77" s="10">
        <v>42666</v>
      </c>
      <c r="J77">
        <f t="shared" ca="1" si="13"/>
        <v>9</v>
      </c>
      <c r="K77">
        <f t="shared" si="14"/>
        <v>2016</v>
      </c>
      <c r="L77">
        <f t="shared" si="15"/>
        <v>10</v>
      </c>
      <c r="M77">
        <f t="shared" si="16"/>
        <v>1</v>
      </c>
      <c r="N77" s="12">
        <f t="shared" ca="1" si="17"/>
        <v>46090.85657546296</v>
      </c>
      <c r="O77">
        <v>3</v>
      </c>
      <c r="P77" t="s">
        <v>181</v>
      </c>
      <c r="Q77" t="s">
        <v>253</v>
      </c>
    </row>
    <row r="78" spans="1:17" hidden="1">
      <c r="A78" t="s">
        <v>104</v>
      </c>
      <c r="B78" t="s">
        <v>301</v>
      </c>
      <c r="C78" t="s">
        <v>282</v>
      </c>
      <c r="D78" t="s">
        <v>289</v>
      </c>
      <c r="E78" t="str">
        <f t="shared" si="12"/>
        <v>AliceBrown</v>
      </c>
      <c r="F78" t="s">
        <v>166</v>
      </c>
      <c r="G78" t="s">
        <v>176</v>
      </c>
      <c r="H78" s="7">
        <v>96101</v>
      </c>
      <c r="I78" s="10">
        <v>42673</v>
      </c>
      <c r="J78">
        <f t="shared" ca="1" si="13"/>
        <v>9</v>
      </c>
      <c r="K78">
        <f t="shared" si="14"/>
        <v>2016</v>
      </c>
      <c r="L78">
        <f t="shared" si="15"/>
        <v>10</v>
      </c>
      <c r="M78">
        <f t="shared" si="16"/>
        <v>1</v>
      </c>
      <c r="N78" s="12">
        <f t="shared" ca="1" si="17"/>
        <v>46090.85657546296</v>
      </c>
      <c r="O78">
        <v>3</v>
      </c>
      <c r="P78" t="s">
        <v>179</v>
      </c>
      <c r="Q78" t="s">
        <v>254</v>
      </c>
    </row>
    <row r="79" spans="1:17" hidden="1">
      <c r="A79" t="s">
        <v>105</v>
      </c>
      <c r="B79" t="s">
        <v>303</v>
      </c>
      <c r="C79" t="s">
        <v>284</v>
      </c>
      <c r="D79" t="s">
        <v>291</v>
      </c>
      <c r="E79" t="str">
        <f t="shared" si="12"/>
        <v>JaneSmith</v>
      </c>
      <c r="F79" t="s">
        <v>166</v>
      </c>
      <c r="G79" t="s">
        <v>173</v>
      </c>
      <c r="H79" s="7">
        <v>72939</v>
      </c>
      <c r="I79" s="10">
        <v>42680</v>
      </c>
      <c r="J79">
        <f t="shared" ca="1" si="13"/>
        <v>9</v>
      </c>
      <c r="K79">
        <f t="shared" si="14"/>
        <v>2016</v>
      </c>
      <c r="L79">
        <f t="shared" si="15"/>
        <v>11</v>
      </c>
      <c r="M79">
        <f t="shared" si="16"/>
        <v>1</v>
      </c>
      <c r="N79" s="12">
        <f t="shared" ca="1" si="17"/>
        <v>46090.85657546296</v>
      </c>
      <c r="O79">
        <v>3</v>
      </c>
      <c r="P79" t="s">
        <v>178</v>
      </c>
      <c r="Q79" t="s">
        <v>255</v>
      </c>
    </row>
    <row r="80" spans="1:17" hidden="1">
      <c r="A80" t="s">
        <v>107</v>
      </c>
      <c r="B80" t="s">
        <v>306</v>
      </c>
      <c r="C80" t="s">
        <v>287</v>
      </c>
      <c r="D80" t="s">
        <v>294</v>
      </c>
      <c r="E80" t="str">
        <f t="shared" si="12"/>
        <v>BobJohnson</v>
      </c>
      <c r="F80" t="s">
        <v>169</v>
      </c>
      <c r="G80" t="s">
        <v>176</v>
      </c>
      <c r="H80" s="7">
        <v>70470</v>
      </c>
      <c r="I80" s="10">
        <v>42694</v>
      </c>
      <c r="J80">
        <f t="shared" ca="1" si="13"/>
        <v>9</v>
      </c>
      <c r="K80">
        <f t="shared" si="14"/>
        <v>2016</v>
      </c>
      <c r="L80">
        <f t="shared" si="15"/>
        <v>11</v>
      </c>
      <c r="M80">
        <f t="shared" si="16"/>
        <v>1</v>
      </c>
      <c r="N80" s="12">
        <f t="shared" ca="1" si="17"/>
        <v>46090.85657546296</v>
      </c>
      <c r="O80">
        <v>3</v>
      </c>
      <c r="P80" t="s">
        <v>180</v>
      </c>
      <c r="Q80" t="s">
        <v>257</v>
      </c>
    </row>
    <row r="81" spans="1:17" hidden="1">
      <c r="A81" t="s">
        <v>110</v>
      </c>
      <c r="B81" t="s">
        <v>306</v>
      </c>
      <c r="C81" t="s">
        <v>287</v>
      </c>
      <c r="D81" t="s">
        <v>294</v>
      </c>
      <c r="E81" t="str">
        <f t="shared" si="12"/>
        <v>BobJohnson</v>
      </c>
      <c r="F81" t="s">
        <v>169</v>
      </c>
      <c r="G81" t="s">
        <v>172</v>
      </c>
      <c r="H81" s="7">
        <v>66503</v>
      </c>
      <c r="I81" s="10">
        <v>42715</v>
      </c>
      <c r="J81">
        <f t="shared" ca="1" si="13"/>
        <v>9</v>
      </c>
      <c r="K81">
        <f t="shared" si="14"/>
        <v>2016</v>
      </c>
      <c r="L81">
        <f t="shared" si="15"/>
        <v>12</v>
      </c>
      <c r="M81">
        <f t="shared" si="16"/>
        <v>1</v>
      </c>
      <c r="N81" s="12">
        <f t="shared" ca="1" si="17"/>
        <v>46090.85657546296</v>
      </c>
      <c r="O81">
        <v>3</v>
      </c>
      <c r="P81" t="s">
        <v>180</v>
      </c>
      <c r="Q81" t="s">
        <v>200</v>
      </c>
    </row>
    <row r="82" spans="1:17" hidden="1">
      <c r="A82" t="s">
        <v>111</v>
      </c>
      <c r="B82" t="s">
        <v>301</v>
      </c>
      <c r="C82" t="s">
        <v>282</v>
      </c>
      <c r="D82" t="s">
        <v>289</v>
      </c>
      <c r="E82" t="str">
        <f t="shared" si="12"/>
        <v>AliceBrown</v>
      </c>
      <c r="F82" t="s">
        <v>167</v>
      </c>
      <c r="G82" t="s">
        <v>172</v>
      </c>
      <c r="H82" s="7">
        <v>42096</v>
      </c>
      <c r="I82" s="10">
        <v>42722</v>
      </c>
      <c r="J82">
        <f t="shared" ca="1" si="13"/>
        <v>9</v>
      </c>
      <c r="K82">
        <f t="shared" si="14"/>
        <v>2016</v>
      </c>
      <c r="L82">
        <f t="shared" si="15"/>
        <v>12</v>
      </c>
      <c r="M82">
        <f t="shared" si="16"/>
        <v>1</v>
      </c>
      <c r="N82" s="12">
        <f t="shared" ca="1" si="17"/>
        <v>46090.85657546296</v>
      </c>
      <c r="O82">
        <v>3</v>
      </c>
      <c r="P82" t="s">
        <v>181</v>
      </c>
      <c r="Q82" t="s">
        <v>260</v>
      </c>
    </row>
    <row r="83" spans="1:17" hidden="1">
      <c r="A83" t="s">
        <v>114</v>
      </c>
      <c r="B83" s="3" t="s">
        <v>178</v>
      </c>
      <c r="C83" s="3" t="s">
        <v>178</v>
      </c>
      <c r="D83" t="s">
        <v>178</v>
      </c>
      <c r="E83" t="str">
        <f t="shared" si="12"/>
        <v>Unknown</v>
      </c>
      <c r="F83" t="s">
        <v>167</v>
      </c>
      <c r="G83" t="s">
        <v>175</v>
      </c>
      <c r="H83" s="7">
        <v>87963</v>
      </c>
      <c r="I83" s="10">
        <v>42743</v>
      </c>
      <c r="J83">
        <f t="shared" ca="1" si="13"/>
        <v>9</v>
      </c>
      <c r="K83">
        <f t="shared" si="14"/>
        <v>2017</v>
      </c>
      <c r="L83">
        <f t="shared" si="15"/>
        <v>1</v>
      </c>
      <c r="M83">
        <f t="shared" si="16"/>
        <v>1</v>
      </c>
      <c r="N83" s="12">
        <f t="shared" ca="1" si="17"/>
        <v>46090.85657546296</v>
      </c>
      <c r="O83">
        <v>3</v>
      </c>
      <c r="P83" t="s">
        <v>179</v>
      </c>
      <c r="Q83" t="s">
        <v>178</v>
      </c>
    </row>
    <row r="84" spans="1:17" hidden="1">
      <c r="A84" t="s">
        <v>115</v>
      </c>
      <c r="B84" t="s">
        <v>300</v>
      </c>
      <c r="C84" t="s">
        <v>281</v>
      </c>
      <c r="D84" t="s">
        <v>288</v>
      </c>
      <c r="E84" t="str">
        <f t="shared" si="12"/>
        <v>EveAdams</v>
      </c>
      <c r="F84" t="s">
        <v>169</v>
      </c>
      <c r="G84" s="3" t="s">
        <v>178</v>
      </c>
      <c r="H84" s="7">
        <v>48325</v>
      </c>
      <c r="I84" s="10">
        <v>42750</v>
      </c>
      <c r="J84">
        <f t="shared" ca="1" si="13"/>
        <v>9</v>
      </c>
      <c r="K84">
        <f t="shared" si="14"/>
        <v>2017</v>
      </c>
      <c r="L84">
        <f t="shared" si="15"/>
        <v>1</v>
      </c>
      <c r="M84">
        <f t="shared" si="16"/>
        <v>1</v>
      </c>
      <c r="N84" s="12">
        <f t="shared" ca="1" si="17"/>
        <v>46090.85657546296</v>
      </c>
      <c r="O84">
        <v>3</v>
      </c>
      <c r="P84" t="s">
        <v>180</v>
      </c>
      <c r="Q84" t="s">
        <v>261</v>
      </c>
    </row>
    <row r="85" spans="1:17" hidden="1">
      <c r="A85" t="s">
        <v>121</v>
      </c>
      <c r="B85" t="s">
        <v>300</v>
      </c>
      <c r="C85" t="s">
        <v>281</v>
      </c>
      <c r="D85" t="s">
        <v>288</v>
      </c>
      <c r="E85" t="str">
        <f t="shared" si="12"/>
        <v>EveAdams</v>
      </c>
      <c r="F85" t="s">
        <v>166</v>
      </c>
      <c r="G85" t="s">
        <v>174</v>
      </c>
      <c r="H85" s="7">
        <v>78330</v>
      </c>
      <c r="I85" s="10">
        <v>42792</v>
      </c>
      <c r="J85">
        <f t="shared" ca="1" si="13"/>
        <v>9</v>
      </c>
      <c r="K85">
        <f t="shared" si="14"/>
        <v>2017</v>
      </c>
      <c r="L85">
        <f t="shared" si="15"/>
        <v>2</v>
      </c>
      <c r="M85">
        <f t="shared" si="16"/>
        <v>1</v>
      </c>
      <c r="N85" s="12">
        <f t="shared" ca="1" si="17"/>
        <v>46090.85657546296</v>
      </c>
      <c r="O85">
        <v>3</v>
      </c>
      <c r="P85" t="s">
        <v>179</v>
      </c>
      <c r="Q85" t="s">
        <v>258</v>
      </c>
    </row>
    <row r="86" spans="1:17" hidden="1">
      <c r="A86" t="s">
        <v>127</v>
      </c>
      <c r="B86" t="s">
        <v>305</v>
      </c>
      <c r="C86" t="s">
        <v>286</v>
      </c>
      <c r="D86" t="s">
        <v>293</v>
      </c>
      <c r="E86" t="str">
        <f t="shared" si="12"/>
        <v>ChrisLee</v>
      </c>
      <c r="F86" t="s">
        <v>168</v>
      </c>
      <c r="G86" t="s">
        <v>174</v>
      </c>
      <c r="H86" s="7">
        <v>95032</v>
      </c>
      <c r="I86" s="10">
        <v>42834</v>
      </c>
      <c r="J86">
        <f t="shared" ca="1" si="13"/>
        <v>8</v>
      </c>
      <c r="K86">
        <f t="shared" si="14"/>
        <v>2017</v>
      </c>
      <c r="L86">
        <f t="shared" si="15"/>
        <v>4</v>
      </c>
      <c r="M86">
        <f t="shared" si="16"/>
        <v>1</v>
      </c>
      <c r="N86" s="12">
        <f t="shared" ca="1" si="17"/>
        <v>46090.85657546296</v>
      </c>
      <c r="O86">
        <v>3</v>
      </c>
      <c r="P86" t="s">
        <v>178</v>
      </c>
      <c r="Q86" t="s">
        <v>267</v>
      </c>
    </row>
    <row r="87" spans="1:17" hidden="1">
      <c r="A87" t="s">
        <v>128</v>
      </c>
      <c r="B87" t="s">
        <v>300</v>
      </c>
      <c r="C87" t="s">
        <v>281</v>
      </c>
      <c r="D87" t="s">
        <v>288</v>
      </c>
      <c r="E87" t="str">
        <f t="shared" si="12"/>
        <v>EveAdams</v>
      </c>
      <c r="F87" t="s">
        <v>168</v>
      </c>
      <c r="G87" t="s">
        <v>176</v>
      </c>
      <c r="H87" s="7">
        <v>44358</v>
      </c>
      <c r="I87" s="10">
        <v>42841</v>
      </c>
      <c r="J87">
        <f t="shared" ca="1" si="13"/>
        <v>8</v>
      </c>
      <c r="K87">
        <f t="shared" si="14"/>
        <v>2017</v>
      </c>
      <c r="L87">
        <f t="shared" si="15"/>
        <v>4</v>
      </c>
      <c r="M87">
        <f t="shared" si="16"/>
        <v>1</v>
      </c>
      <c r="N87" s="12">
        <f t="shared" ca="1" si="17"/>
        <v>46090.85657546296</v>
      </c>
      <c r="O87">
        <v>3</v>
      </c>
      <c r="P87" t="s">
        <v>181</v>
      </c>
      <c r="Q87" t="s">
        <v>200</v>
      </c>
    </row>
    <row r="88" spans="1:17" hidden="1">
      <c r="A88" t="s">
        <v>131</v>
      </c>
      <c r="B88" t="s">
        <v>306</v>
      </c>
      <c r="C88" t="s">
        <v>287</v>
      </c>
      <c r="D88" t="s">
        <v>294</v>
      </c>
      <c r="E88" t="str">
        <f t="shared" si="12"/>
        <v>BobJohnson</v>
      </c>
      <c r="F88" t="s">
        <v>168</v>
      </c>
      <c r="G88" t="s">
        <v>172</v>
      </c>
      <c r="H88" s="7">
        <v>52036</v>
      </c>
      <c r="I88" s="10">
        <v>42862</v>
      </c>
      <c r="J88">
        <f t="shared" ca="1" si="13"/>
        <v>8</v>
      </c>
      <c r="K88">
        <f t="shared" si="14"/>
        <v>2017</v>
      </c>
      <c r="L88">
        <f t="shared" si="15"/>
        <v>5</v>
      </c>
      <c r="M88">
        <f t="shared" si="16"/>
        <v>1</v>
      </c>
      <c r="N88" s="12">
        <f t="shared" ca="1" si="17"/>
        <v>46090.85657546296</v>
      </c>
      <c r="O88">
        <v>3</v>
      </c>
      <c r="P88" t="s">
        <v>180</v>
      </c>
      <c r="Q88" t="s">
        <v>270</v>
      </c>
    </row>
    <row r="89" spans="1:17" hidden="1">
      <c r="A89" t="s">
        <v>135</v>
      </c>
      <c r="B89" t="s">
        <v>306</v>
      </c>
      <c r="C89" t="s">
        <v>287</v>
      </c>
      <c r="D89" t="s">
        <v>294</v>
      </c>
      <c r="E89" t="str">
        <f t="shared" si="12"/>
        <v>BobJohnson</v>
      </c>
      <c r="F89" t="s">
        <v>178</v>
      </c>
      <c r="G89" t="s">
        <v>172</v>
      </c>
      <c r="H89" s="7">
        <v>71494</v>
      </c>
      <c r="I89" s="10">
        <v>42890</v>
      </c>
      <c r="J89">
        <f t="shared" ca="1" si="13"/>
        <v>8</v>
      </c>
      <c r="K89">
        <f t="shared" si="14"/>
        <v>2017</v>
      </c>
      <c r="L89">
        <f t="shared" si="15"/>
        <v>6</v>
      </c>
      <c r="M89">
        <f t="shared" si="16"/>
        <v>1</v>
      </c>
      <c r="N89" s="12">
        <f t="shared" ca="1" si="17"/>
        <v>46090.85657546296</v>
      </c>
      <c r="O89">
        <v>3</v>
      </c>
      <c r="P89" t="s">
        <v>180</v>
      </c>
      <c r="Q89" t="s">
        <v>273</v>
      </c>
    </row>
    <row r="90" spans="1:17" hidden="1">
      <c r="A90" t="s">
        <v>138</v>
      </c>
      <c r="B90" t="s">
        <v>306</v>
      </c>
      <c r="C90" t="s">
        <v>287</v>
      </c>
      <c r="D90" t="s">
        <v>294</v>
      </c>
      <c r="E90" t="str">
        <f t="shared" si="12"/>
        <v>BobJohnson</v>
      </c>
      <c r="F90" t="s">
        <v>178</v>
      </c>
      <c r="G90" t="s">
        <v>175</v>
      </c>
      <c r="H90" s="7">
        <v>62994</v>
      </c>
      <c r="I90" s="10">
        <v>42911</v>
      </c>
      <c r="J90">
        <f t="shared" ca="1" si="13"/>
        <v>8</v>
      </c>
      <c r="K90">
        <f t="shared" si="14"/>
        <v>2017</v>
      </c>
      <c r="L90">
        <f t="shared" si="15"/>
        <v>6</v>
      </c>
      <c r="M90">
        <f t="shared" si="16"/>
        <v>1</v>
      </c>
      <c r="N90" s="12">
        <f t="shared" ca="1" si="17"/>
        <v>46090.85657546296</v>
      </c>
      <c r="O90">
        <v>3</v>
      </c>
      <c r="P90" t="s">
        <v>178</v>
      </c>
      <c r="Q90" t="s">
        <v>221</v>
      </c>
    </row>
    <row r="91" spans="1:17" hidden="1">
      <c r="A91" t="s">
        <v>139</v>
      </c>
      <c r="B91" t="s">
        <v>301</v>
      </c>
      <c r="C91" t="s">
        <v>282</v>
      </c>
      <c r="D91" t="s">
        <v>289</v>
      </c>
      <c r="E91" t="str">
        <f t="shared" si="12"/>
        <v>AliceBrown</v>
      </c>
      <c r="F91" t="s">
        <v>168</v>
      </c>
      <c r="G91" t="s">
        <v>174</v>
      </c>
      <c r="H91" s="7">
        <v>48289</v>
      </c>
      <c r="I91" s="10" t="s">
        <v>178</v>
      </c>
      <c r="J91" t="str">
        <f t="shared" ca="1" si="13"/>
        <v>Unknown</v>
      </c>
      <c r="K91" t="str">
        <f t="shared" si="14"/>
        <v>Unknown</v>
      </c>
      <c r="L91" t="str">
        <f t="shared" si="15"/>
        <v>Unknown</v>
      </c>
      <c r="M91" t="str">
        <f t="shared" si="16"/>
        <v>Unknown</v>
      </c>
      <c r="N91" s="12">
        <f t="shared" ca="1" si="17"/>
        <v>46090.85657546296</v>
      </c>
      <c r="O91">
        <v>3</v>
      </c>
      <c r="P91" t="s">
        <v>180</v>
      </c>
      <c r="Q91" t="s">
        <v>189</v>
      </c>
    </row>
    <row r="92" spans="1:17" hidden="1">
      <c r="A92" t="s">
        <v>140</v>
      </c>
      <c r="B92" t="s">
        <v>304</v>
      </c>
      <c r="C92" t="s">
        <v>285</v>
      </c>
      <c r="D92" t="s">
        <v>292</v>
      </c>
      <c r="E92" t="str">
        <f t="shared" si="12"/>
        <v>SamWilson</v>
      </c>
      <c r="F92" t="s">
        <v>170</v>
      </c>
      <c r="G92" t="s">
        <v>172</v>
      </c>
      <c r="H92" s="7">
        <v>34402</v>
      </c>
      <c r="I92" s="10">
        <v>42925</v>
      </c>
      <c r="J92">
        <f t="shared" ca="1" si="13"/>
        <v>8</v>
      </c>
      <c r="K92">
        <f t="shared" si="14"/>
        <v>2017</v>
      </c>
      <c r="L92">
        <f t="shared" si="15"/>
        <v>7</v>
      </c>
      <c r="M92">
        <f t="shared" si="16"/>
        <v>1</v>
      </c>
      <c r="N92" s="12">
        <f t="shared" ca="1" si="17"/>
        <v>46090.85657546296</v>
      </c>
      <c r="O92">
        <v>3</v>
      </c>
      <c r="P92" t="s">
        <v>179</v>
      </c>
      <c r="Q92" t="s">
        <v>218</v>
      </c>
    </row>
    <row r="93" spans="1:17" hidden="1">
      <c r="A93" t="s">
        <v>141</v>
      </c>
      <c r="B93" t="s">
        <v>300</v>
      </c>
      <c r="C93" t="s">
        <v>281</v>
      </c>
      <c r="D93" t="s">
        <v>288</v>
      </c>
      <c r="E93" t="str">
        <f t="shared" si="12"/>
        <v>EveAdams</v>
      </c>
      <c r="F93" t="s">
        <v>167</v>
      </c>
      <c r="G93" t="s">
        <v>173</v>
      </c>
      <c r="H93" s="7">
        <v>38678</v>
      </c>
      <c r="I93" s="10">
        <v>42932</v>
      </c>
      <c r="J93">
        <f t="shared" ca="1" si="13"/>
        <v>8</v>
      </c>
      <c r="K93">
        <f t="shared" si="14"/>
        <v>2017</v>
      </c>
      <c r="L93">
        <f t="shared" si="15"/>
        <v>7</v>
      </c>
      <c r="M93">
        <f t="shared" si="16"/>
        <v>1</v>
      </c>
      <c r="N93" s="12">
        <f t="shared" ca="1" si="17"/>
        <v>46090.85657546296</v>
      </c>
      <c r="O93">
        <v>3</v>
      </c>
      <c r="P93" t="s">
        <v>179</v>
      </c>
      <c r="Q93" t="s">
        <v>275</v>
      </c>
    </row>
    <row r="94" spans="1:17" hidden="1">
      <c r="A94" t="s">
        <v>142</v>
      </c>
      <c r="B94" t="s">
        <v>305</v>
      </c>
      <c r="C94" t="s">
        <v>286</v>
      </c>
      <c r="D94" t="s">
        <v>293</v>
      </c>
      <c r="E94" t="str">
        <f t="shared" si="12"/>
        <v>ChrisLee</v>
      </c>
      <c r="F94" t="s">
        <v>167</v>
      </c>
      <c r="G94" t="s">
        <v>172</v>
      </c>
      <c r="H94" s="7">
        <v>45758</v>
      </c>
      <c r="I94" s="10">
        <v>42939</v>
      </c>
      <c r="J94">
        <f t="shared" ca="1" si="13"/>
        <v>8</v>
      </c>
      <c r="K94">
        <f t="shared" si="14"/>
        <v>2017</v>
      </c>
      <c r="L94">
        <f t="shared" si="15"/>
        <v>7</v>
      </c>
      <c r="M94">
        <f t="shared" si="16"/>
        <v>1</v>
      </c>
      <c r="N94" s="12">
        <f t="shared" ca="1" si="17"/>
        <v>46090.85657546296</v>
      </c>
      <c r="O94">
        <v>3</v>
      </c>
      <c r="P94" t="s">
        <v>178</v>
      </c>
      <c r="Q94" t="s">
        <v>264</v>
      </c>
    </row>
    <row r="95" spans="1:17" hidden="1">
      <c r="A95" t="s">
        <v>144</v>
      </c>
      <c r="B95" s="3" t="s">
        <v>178</v>
      </c>
      <c r="C95" s="3" t="s">
        <v>178</v>
      </c>
      <c r="D95" t="s">
        <v>178</v>
      </c>
      <c r="E95" t="str">
        <f t="shared" si="12"/>
        <v>Unknown</v>
      </c>
      <c r="F95" t="s">
        <v>169</v>
      </c>
      <c r="G95" t="s">
        <v>175</v>
      </c>
      <c r="H95" s="7">
        <v>39280</v>
      </c>
      <c r="I95" s="10">
        <v>42953</v>
      </c>
      <c r="J95">
        <f t="shared" ca="1" si="13"/>
        <v>8</v>
      </c>
      <c r="K95">
        <f t="shared" si="14"/>
        <v>2017</v>
      </c>
      <c r="L95">
        <f t="shared" si="15"/>
        <v>8</v>
      </c>
      <c r="M95">
        <f t="shared" si="16"/>
        <v>1</v>
      </c>
      <c r="N95" s="12">
        <f t="shared" ca="1" si="17"/>
        <v>46090.85657546296</v>
      </c>
      <c r="O95">
        <v>3</v>
      </c>
      <c r="P95" t="s">
        <v>181</v>
      </c>
      <c r="Q95" t="s">
        <v>214</v>
      </c>
    </row>
    <row r="96" spans="1:17" hidden="1">
      <c r="A96" t="s">
        <v>146</v>
      </c>
      <c r="B96" t="s">
        <v>305</v>
      </c>
      <c r="C96" t="s">
        <v>286</v>
      </c>
      <c r="D96" t="s">
        <v>293</v>
      </c>
      <c r="E96" t="str">
        <f t="shared" si="12"/>
        <v>ChrisLee</v>
      </c>
      <c r="F96" t="s">
        <v>167</v>
      </c>
      <c r="G96" t="s">
        <v>172</v>
      </c>
      <c r="H96" s="7">
        <v>84968</v>
      </c>
      <c r="I96" s="10">
        <v>42967</v>
      </c>
      <c r="J96">
        <f t="shared" ca="1" si="13"/>
        <v>8</v>
      </c>
      <c r="K96">
        <f t="shared" si="14"/>
        <v>2017</v>
      </c>
      <c r="L96">
        <f t="shared" si="15"/>
        <v>8</v>
      </c>
      <c r="M96">
        <f t="shared" si="16"/>
        <v>1</v>
      </c>
      <c r="N96" s="12">
        <f t="shared" ca="1" si="17"/>
        <v>46090.85657546296</v>
      </c>
      <c r="O96">
        <v>3</v>
      </c>
      <c r="P96" t="s">
        <v>178</v>
      </c>
      <c r="Q96" t="s">
        <v>276</v>
      </c>
    </row>
    <row r="97" spans="1:17" hidden="1">
      <c r="A97" t="s">
        <v>151</v>
      </c>
      <c r="B97" t="s">
        <v>301</v>
      </c>
      <c r="C97" t="s">
        <v>282</v>
      </c>
      <c r="D97" t="s">
        <v>289</v>
      </c>
      <c r="E97" t="str">
        <f t="shared" si="12"/>
        <v>AliceBrown</v>
      </c>
      <c r="F97" t="s">
        <v>170</v>
      </c>
      <c r="G97" s="3" t="s">
        <v>178</v>
      </c>
      <c r="H97" s="7">
        <v>86775</v>
      </c>
      <c r="I97" s="10">
        <v>43002</v>
      </c>
      <c r="J97">
        <f t="shared" ca="1" si="13"/>
        <v>8</v>
      </c>
      <c r="K97">
        <f t="shared" si="14"/>
        <v>2017</v>
      </c>
      <c r="L97">
        <f t="shared" si="15"/>
        <v>9</v>
      </c>
      <c r="M97">
        <f t="shared" si="16"/>
        <v>1</v>
      </c>
      <c r="N97" s="12">
        <f t="shared" ca="1" si="17"/>
        <v>46090.85657546296</v>
      </c>
      <c r="O97">
        <v>3</v>
      </c>
      <c r="P97" t="s">
        <v>179</v>
      </c>
      <c r="Q97" t="s">
        <v>212</v>
      </c>
    </row>
    <row r="98" spans="1:17" hidden="1">
      <c r="A98" t="s">
        <v>152</v>
      </c>
      <c r="B98" t="s">
        <v>305</v>
      </c>
      <c r="C98" t="s">
        <v>286</v>
      </c>
      <c r="D98" t="s">
        <v>293</v>
      </c>
      <c r="E98" t="str">
        <f t="shared" ref="E98:E129" si="18">TRIM(B98)</f>
        <v>ChrisLee</v>
      </c>
      <c r="F98" t="s">
        <v>168</v>
      </c>
      <c r="G98" t="s">
        <v>175</v>
      </c>
      <c r="H98" s="7">
        <v>91620</v>
      </c>
      <c r="I98" s="10">
        <v>43009</v>
      </c>
      <c r="J98">
        <f t="shared" ref="J98:J129" ca="1" si="19">IF(I98="Unknown","Unknown",DATEDIF(I98,TODAY(),"Y"))</f>
        <v>8</v>
      </c>
      <c r="K98">
        <f t="shared" ref="K98:K129" si="20">IF(I98="Unknown","Unknown",YEAR(I98))</f>
        <v>2017</v>
      </c>
      <c r="L98">
        <f t="shared" ref="L98:L129" si="21">IF(I98="Unknown","Unknown",MONTH(I98))</f>
        <v>10</v>
      </c>
      <c r="M98">
        <f t="shared" ref="M98:M129" si="22">IF(I98="Unknown","Unknown",WEEKDAY(I98))</f>
        <v>1</v>
      </c>
      <c r="N98" s="12">
        <f t="shared" ref="N98:N129" ca="1" si="23">NOW()</f>
        <v>46090.85657546296</v>
      </c>
      <c r="O98">
        <v>3</v>
      </c>
      <c r="P98" t="s">
        <v>178</v>
      </c>
      <c r="Q98" t="s">
        <v>277</v>
      </c>
    </row>
    <row r="99" spans="1:17" hidden="1">
      <c r="A99" t="s">
        <v>9</v>
      </c>
      <c r="B99" s="3" t="s">
        <v>178</v>
      </c>
      <c r="C99" s="3" t="s">
        <v>178</v>
      </c>
      <c r="D99" t="s">
        <v>178</v>
      </c>
      <c r="E99" t="str">
        <f t="shared" si="18"/>
        <v>Unknown</v>
      </c>
      <c r="F99" t="s">
        <v>166</v>
      </c>
      <c r="G99" t="s">
        <v>178</v>
      </c>
      <c r="H99" s="7">
        <v>66281</v>
      </c>
      <c r="I99" s="10" t="s">
        <v>178</v>
      </c>
      <c r="J99" t="str">
        <f t="shared" ca="1" si="19"/>
        <v>Unknown</v>
      </c>
      <c r="K99" t="str">
        <f t="shared" si="20"/>
        <v>Unknown</v>
      </c>
      <c r="L99" t="str">
        <f t="shared" si="21"/>
        <v>Unknown</v>
      </c>
      <c r="M99" t="str">
        <f t="shared" si="22"/>
        <v>Unknown</v>
      </c>
      <c r="N99" s="12">
        <f t="shared" ca="1" si="23"/>
        <v>46090.85657546296</v>
      </c>
      <c r="O99">
        <v>2</v>
      </c>
      <c r="P99" t="s">
        <v>178</v>
      </c>
      <c r="Q99" t="s">
        <v>178</v>
      </c>
    </row>
    <row r="100" spans="1:17" hidden="1">
      <c r="A100" t="s">
        <v>11</v>
      </c>
      <c r="B100" t="s">
        <v>301</v>
      </c>
      <c r="C100" t="s">
        <v>282</v>
      </c>
      <c r="D100" t="s">
        <v>289</v>
      </c>
      <c r="E100" t="str">
        <f t="shared" si="18"/>
        <v>AliceBrown</v>
      </c>
      <c r="F100" t="s">
        <v>166</v>
      </c>
      <c r="G100" t="s">
        <v>172</v>
      </c>
      <c r="H100" s="7">
        <v>63184</v>
      </c>
      <c r="I100" s="10">
        <v>42022</v>
      </c>
      <c r="J100">
        <f t="shared" ca="1" si="19"/>
        <v>11</v>
      </c>
      <c r="K100">
        <f t="shared" si="20"/>
        <v>2015</v>
      </c>
      <c r="L100">
        <f t="shared" si="21"/>
        <v>1</v>
      </c>
      <c r="M100">
        <f t="shared" si="22"/>
        <v>1</v>
      </c>
      <c r="N100" s="12">
        <f t="shared" ca="1" si="23"/>
        <v>46090.85657546296</v>
      </c>
      <c r="O100">
        <v>2</v>
      </c>
      <c r="P100" t="s">
        <v>178</v>
      </c>
      <c r="Q100" t="s">
        <v>184</v>
      </c>
    </row>
    <row r="101" spans="1:17" hidden="1">
      <c r="A101" t="s">
        <v>14</v>
      </c>
      <c r="B101" t="s">
        <v>301</v>
      </c>
      <c r="C101" t="s">
        <v>282</v>
      </c>
      <c r="D101" t="s">
        <v>289</v>
      </c>
      <c r="E101" t="str">
        <f t="shared" si="18"/>
        <v>AliceBrown</v>
      </c>
      <c r="F101" t="s">
        <v>169</v>
      </c>
      <c r="G101" t="s">
        <v>174</v>
      </c>
      <c r="H101" s="7">
        <v>78421</v>
      </c>
      <c r="I101" s="10">
        <v>42043</v>
      </c>
      <c r="J101">
        <f t="shared" ca="1" si="19"/>
        <v>11</v>
      </c>
      <c r="K101">
        <f t="shared" si="20"/>
        <v>2015</v>
      </c>
      <c r="L101">
        <f t="shared" si="21"/>
        <v>2</v>
      </c>
      <c r="M101">
        <f t="shared" si="22"/>
        <v>1</v>
      </c>
      <c r="N101" s="12">
        <f t="shared" ca="1" si="23"/>
        <v>46090.85657546296</v>
      </c>
      <c r="O101">
        <v>2</v>
      </c>
      <c r="P101" t="s">
        <v>181</v>
      </c>
      <c r="Q101" t="s">
        <v>187</v>
      </c>
    </row>
    <row r="102" spans="1:17" hidden="1">
      <c r="A102" t="s">
        <v>16</v>
      </c>
      <c r="B102" t="s">
        <v>305</v>
      </c>
      <c r="C102" t="s">
        <v>286</v>
      </c>
      <c r="D102" t="s">
        <v>293</v>
      </c>
      <c r="E102" t="str">
        <f t="shared" si="18"/>
        <v>ChrisLee</v>
      </c>
      <c r="F102" t="s">
        <v>170</v>
      </c>
      <c r="G102" t="s">
        <v>178</v>
      </c>
      <c r="H102" s="7">
        <v>35364</v>
      </c>
      <c r="I102" s="10">
        <v>42057</v>
      </c>
      <c r="J102">
        <f t="shared" ca="1" si="19"/>
        <v>11</v>
      </c>
      <c r="K102">
        <f t="shared" si="20"/>
        <v>2015</v>
      </c>
      <c r="L102">
        <f t="shared" si="21"/>
        <v>2</v>
      </c>
      <c r="M102">
        <f t="shared" si="22"/>
        <v>1</v>
      </c>
      <c r="N102" s="12">
        <f t="shared" ca="1" si="23"/>
        <v>46090.85657546296</v>
      </c>
      <c r="O102">
        <v>2</v>
      </c>
      <c r="P102" t="s">
        <v>179</v>
      </c>
      <c r="Q102" t="s">
        <v>188</v>
      </c>
    </row>
    <row r="103" spans="1:17" hidden="1">
      <c r="A103" t="s">
        <v>23</v>
      </c>
      <c r="B103" t="s">
        <v>303</v>
      </c>
      <c r="C103" t="s">
        <v>284</v>
      </c>
      <c r="D103" t="s">
        <v>291</v>
      </c>
      <c r="E103" t="str">
        <f t="shared" si="18"/>
        <v>JaneSmith</v>
      </c>
      <c r="F103" t="s">
        <v>167</v>
      </c>
      <c r="G103" s="3" t="s">
        <v>178</v>
      </c>
      <c r="H103" s="7">
        <v>59894</v>
      </c>
      <c r="I103" s="10">
        <v>42106</v>
      </c>
      <c r="J103">
        <f t="shared" ca="1" si="19"/>
        <v>10</v>
      </c>
      <c r="K103">
        <f t="shared" si="20"/>
        <v>2015</v>
      </c>
      <c r="L103">
        <f t="shared" si="21"/>
        <v>4</v>
      </c>
      <c r="M103">
        <f t="shared" si="22"/>
        <v>1</v>
      </c>
      <c r="N103" s="12">
        <f t="shared" ca="1" si="23"/>
        <v>46090.85657546296</v>
      </c>
      <c r="O103">
        <v>2</v>
      </c>
      <c r="P103" t="s">
        <v>180</v>
      </c>
      <c r="Q103" t="s">
        <v>194</v>
      </c>
    </row>
    <row r="104" spans="1:17" hidden="1">
      <c r="A104" t="s">
        <v>29</v>
      </c>
      <c r="B104" t="s">
        <v>303</v>
      </c>
      <c r="C104" t="s">
        <v>284</v>
      </c>
      <c r="D104" t="s">
        <v>291</v>
      </c>
      <c r="E104" t="str">
        <f t="shared" si="18"/>
        <v>JaneSmith</v>
      </c>
      <c r="F104" t="s">
        <v>167</v>
      </c>
      <c r="G104" t="s">
        <v>173</v>
      </c>
      <c r="H104" s="7">
        <v>66281</v>
      </c>
      <c r="I104" s="10">
        <v>42148</v>
      </c>
      <c r="J104">
        <f t="shared" ca="1" si="19"/>
        <v>10</v>
      </c>
      <c r="K104">
        <f t="shared" si="20"/>
        <v>2015</v>
      </c>
      <c r="L104">
        <f t="shared" si="21"/>
        <v>5</v>
      </c>
      <c r="M104">
        <f t="shared" si="22"/>
        <v>1</v>
      </c>
      <c r="N104" s="12">
        <f t="shared" ca="1" si="23"/>
        <v>46090.85657546296</v>
      </c>
      <c r="O104">
        <v>2</v>
      </c>
      <c r="P104" t="s">
        <v>179</v>
      </c>
      <c r="Q104" t="s">
        <v>200</v>
      </c>
    </row>
    <row r="105" spans="1:17" hidden="1">
      <c r="A105" t="s">
        <v>35</v>
      </c>
      <c r="B105" t="s">
        <v>300</v>
      </c>
      <c r="C105" t="s">
        <v>281</v>
      </c>
      <c r="D105" t="s">
        <v>288</v>
      </c>
      <c r="E105" t="str">
        <f t="shared" si="18"/>
        <v>EveAdams</v>
      </c>
      <c r="F105" t="s">
        <v>168</v>
      </c>
      <c r="G105" t="s">
        <v>172</v>
      </c>
      <c r="H105" s="7">
        <v>76518</v>
      </c>
      <c r="I105" s="10">
        <v>42190</v>
      </c>
      <c r="J105">
        <f t="shared" ca="1" si="19"/>
        <v>10</v>
      </c>
      <c r="K105">
        <f t="shared" si="20"/>
        <v>2015</v>
      </c>
      <c r="L105">
        <f t="shared" si="21"/>
        <v>7</v>
      </c>
      <c r="M105">
        <f t="shared" si="22"/>
        <v>1</v>
      </c>
      <c r="N105" s="12">
        <f t="shared" ca="1" si="23"/>
        <v>46090.85657546296</v>
      </c>
      <c r="O105">
        <v>2</v>
      </c>
      <c r="P105" t="s">
        <v>181</v>
      </c>
      <c r="Q105" t="s">
        <v>206</v>
      </c>
    </row>
    <row r="106" spans="1:17" hidden="1">
      <c r="A106" t="s">
        <v>37</v>
      </c>
      <c r="B106" t="s">
        <v>302</v>
      </c>
      <c r="C106" t="s">
        <v>283</v>
      </c>
      <c r="D106" t="s">
        <v>290</v>
      </c>
      <c r="E106" t="str">
        <f t="shared" si="18"/>
        <v>JohnDoe</v>
      </c>
      <c r="F106" t="s">
        <v>167</v>
      </c>
      <c r="G106" t="s">
        <v>175</v>
      </c>
      <c r="H106" s="7">
        <v>49282</v>
      </c>
      <c r="I106" s="10">
        <v>42204</v>
      </c>
      <c r="J106">
        <f t="shared" ca="1" si="19"/>
        <v>10</v>
      </c>
      <c r="K106">
        <f t="shared" si="20"/>
        <v>2015</v>
      </c>
      <c r="L106">
        <f t="shared" si="21"/>
        <v>7</v>
      </c>
      <c r="M106">
        <f t="shared" si="22"/>
        <v>1</v>
      </c>
      <c r="N106" s="12">
        <f t="shared" ca="1" si="23"/>
        <v>46090.85657546296</v>
      </c>
      <c r="O106">
        <v>2</v>
      </c>
      <c r="P106" t="s">
        <v>181</v>
      </c>
      <c r="Q106" t="s">
        <v>208</v>
      </c>
    </row>
    <row r="107" spans="1:17" hidden="1">
      <c r="A107" t="s">
        <v>57</v>
      </c>
      <c r="B107" t="s">
        <v>302</v>
      </c>
      <c r="C107" t="s">
        <v>283</v>
      </c>
      <c r="D107" t="s">
        <v>290</v>
      </c>
      <c r="E107" t="str">
        <f t="shared" si="18"/>
        <v>JohnDoe</v>
      </c>
      <c r="F107" t="s">
        <v>166</v>
      </c>
      <c r="G107" s="3" t="s">
        <v>178</v>
      </c>
      <c r="H107" s="7">
        <v>66513</v>
      </c>
      <c r="I107" s="10">
        <v>42344</v>
      </c>
      <c r="J107">
        <f t="shared" ca="1" si="19"/>
        <v>10</v>
      </c>
      <c r="K107">
        <f t="shared" si="20"/>
        <v>2015</v>
      </c>
      <c r="L107">
        <f t="shared" si="21"/>
        <v>12</v>
      </c>
      <c r="M107">
        <f t="shared" si="22"/>
        <v>1</v>
      </c>
      <c r="N107" s="12">
        <f t="shared" ca="1" si="23"/>
        <v>46090.85657546296</v>
      </c>
      <c r="O107">
        <v>2</v>
      </c>
      <c r="P107" t="s">
        <v>179</v>
      </c>
      <c r="Q107" t="s">
        <v>187</v>
      </c>
    </row>
    <row r="108" spans="1:17" hidden="1">
      <c r="A108" t="s">
        <v>59</v>
      </c>
      <c r="B108" t="s">
        <v>305</v>
      </c>
      <c r="C108" t="s">
        <v>286</v>
      </c>
      <c r="D108" t="s">
        <v>293</v>
      </c>
      <c r="E108" t="str">
        <f t="shared" si="18"/>
        <v>ChrisLee</v>
      </c>
      <c r="F108" t="s">
        <v>178</v>
      </c>
      <c r="G108" t="s">
        <v>178</v>
      </c>
      <c r="H108" s="7">
        <v>30686</v>
      </c>
      <c r="I108" s="10" t="s">
        <v>178</v>
      </c>
      <c r="J108" t="str">
        <f t="shared" ca="1" si="19"/>
        <v>Unknown</v>
      </c>
      <c r="K108" t="str">
        <f t="shared" si="20"/>
        <v>Unknown</v>
      </c>
      <c r="L108" t="str">
        <f t="shared" si="21"/>
        <v>Unknown</v>
      </c>
      <c r="M108" t="str">
        <f t="shared" si="22"/>
        <v>Unknown</v>
      </c>
      <c r="N108" s="12">
        <f t="shared" ca="1" si="23"/>
        <v>46090.85657546296</v>
      </c>
      <c r="O108">
        <v>2</v>
      </c>
      <c r="P108" t="s">
        <v>181</v>
      </c>
      <c r="Q108" t="s">
        <v>226</v>
      </c>
    </row>
    <row r="109" spans="1:17" hidden="1">
      <c r="A109" t="s">
        <v>70</v>
      </c>
      <c r="B109" t="s">
        <v>300</v>
      </c>
      <c r="C109" t="s">
        <v>281</v>
      </c>
      <c r="D109" t="s">
        <v>288</v>
      </c>
      <c r="E109" t="str">
        <f t="shared" si="18"/>
        <v>EveAdams</v>
      </c>
      <c r="F109" t="s">
        <v>178</v>
      </c>
      <c r="G109" t="s">
        <v>176</v>
      </c>
      <c r="H109" s="7">
        <v>31499</v>
      </c>
      <c r="I109" s="10">
        <v>42435</v>
      </c>
      <c r="J109">
        <f t="shared" ca="1" si="19"/>
        <v>10</v>
      </c>
      <c r="K109">
        <f t="shared" si="20"/>
        <v>2016</v>
      </c>
      <c r="L109">
        <f t="shared" si="21"/>
        <v>3</v>
      </c>
      <c r="M109">
        <f t="shared" si="22"/>
        <v>1</v>
      </c>
      <c r="N109" s="12">
        <f t="shared" ca="1" si="23"/>
        <v>46090.85657546296</v>
      </c>
      <c r="O109">
        <v>2</v>
      </c>
      <c r="P109" t="s">
        <v>178</v>
      </c>
      <c r="Q109" t="s">
        <v>215</v>
      </c>
    </row>
    <row r="110" spans="1:17" hidden="1">
      <c r="A110" t="s">
        <v>72</v>
      </c>
      <c r="B110" t="s">
        <v>300</v>
      </c>
      <c r="C110" t="s">
        <v>281</v>
      </c>
      <c r="D110" t="s">
        <v>288</v>
      </c>
      <c r="E110" t="str">
        <f t="shared" si="18"/>
        <v>EveAdams</v>
      </c>
      <c r="F110" t="s">
        <v>167</v>
      </c>
      <c r="G110" t="s">
        <v>173</v>
      </c>
      <c r="H110" s="7">
        <v>36541</v>
      </c>
      <c r="I110" s="10">
        <v>42449</v>
      </c>
      <c r="J110">
        <f t="shared" ca="1" si="19"/>
        <v>9</v>
      </c>
      <c r="K110">
        <f t="shared" si="20"/>
        <v>2016</v>
      </c>
      <c r="L110">
        <f t="shared" si="21"/>
        <v>3</v>
      </c>
      <c r="M110">
        <f t="shared" si="22"/>
        <v>1</v>
      </c>
      <c r="N110" s="12">
        <f t="shared" ca="1" si="23"/>
        <v>46090.85657546296</v>
      </c>
      <c r="O110">
        <v>2</v>
      </c>
      <c r="P110" t="s">
        <v>179</v>
      </c>
      <c r="Q110" t="s">
        <v>235</v>
      </c>
    </row>
    <row r="111" spans="1:17" hidden="1">
      <c r="A111" t="s">
        <v>77</v>
      </c>
      <c r="B111" t="s">
        <v>304</v>
      </c>
      <c r="C111" t="s">
        <v>285</v>
      </c>
      <c r="D111" t="s">
        <v>292</v>
      </c>
      <c r="E111" t="str">
        <f t="shared" si="18"/>
        <v>SamWilson</v>
      </c>
      <c r="F111" t="s">
        <v>166</v>
      </c>
      <c r="G111" t="s">
        <v>175</v>
      </c>
      <c r="H111" s="7">
        <v>41467</v>
      </c>
      <c r="I111" s="10">
        <v>42484</v>
      </c>
      <c r="J111">
        <f t="shared" ca="1" si="19"/>
        <v>9</v>
      </c>
      <c r="K111">
        <f t="shared" si="20"/>
        <v>2016</v>
      </c>
      <c r="L111">
        <f t="shared" si="21"/>
        <v>4</v>
      </c>
      <c r="M111">
        <f t="shared" si="22"/>
        <v>1</v>
      </c>
      <c r="N111" s="12">
        <f t="shared" ca="1" si="23"/>
        <v>46090.85657546296</v>
      </c>
      <c r="O111">
        <v>2</v>
      </c>
      <c r="P111" t="s">
        <v>178</v>
      </c>
      <c r="Q111" t="s">
        <v>201</v>
      </c>
    </row>
    <row r="112" spans="1:17" hidden="1">
      <c r="A112" t="s">
        <v>87</v>
      </c>
      <c r="B112" t="s">
        <v>304</v>
      </c>
      <c r="C112" t="s">
        <v>285</v>
      </c>
      <c r="D112" t="s">
        <v>292</v>
      </c>
      <c r="E112" t="str">
        <f t="shared" si="18"/>
        <v>SamWilson</v>
      </c>
      <c r="F112" t="s">
        <v>178</v>
      </c>
      <c r="G112" t="s">
        <v>175</v>
      </c>
      <c r="H112" s="7">
        <v>78245</v>
      </c>
      <c r="I112" s="10">
        <v>42554</v>
      </c>
      <c r="J112">
        <f t="shared" ca="1" si="19"/>
        <v>9</v>
      </c>
      <c r="K112">
        <f t="shared" si="20"/>
        <v>2016</v>
      </c>
      <c r="L112">
        <f t="shared" si="21"/>
        <v>7</v>
      </c>
      <c r="M112">
        <f t="shared" si="22"/>
        <v>1</v>
      </c>
      <c r="N112" s="12">
        <f t="shared" ca="1" si="23"/>
        <v>46090.85657546296</v>
      </c>
      <c r="O112">
        <v>2</v>
      </c>
      <c r="P112" t="s">
        <v>178</v>
      </c>
      <c r="Q112" t="s">
        <v>244</v>
      </c>
    </row>
    <row r="113" spans="1:17" hidden="1">
      <c r="A113" t="s">
        <v>88</v>
      </c>
      <c r="B113" t="s">
        <v>305</v>
      </c>
      <c r="C113" t="s">
        <v>286</v>
      </c>
      <c r="D113" t="s">
        <v>293</v>
      </c>
      <c r="E113" t="str">
        <f t="shared" si="18"/>
        <v>ChrisLee</v>
      </c>
      <c r="F113" t="s">
        <v>168</v>
      </c>
      <c r="G113" t="s">
        <v>173</v>
      </c>
      <c r="H113" s="7">
        <v>66079</v>
      </c>
      <c r="I113" s="10">
        <v>42561</v>
      </c>
      <c r="J113">
        <f t="shared" ca="1" si="19"/>
        <v>9</v>
      </c>
      <c r="K113">
        <f t="shared" si="20"/>
        <v>2016</v>
      </c>
      <c r="L113">
        <f t="shared" si="21"/>
        <v>7</v>
      </c>
      <c r="M113">
        <f t="shared" si="22"/>
        <v>1</v>
      </c>
      <c r="N113" s="12">
        <f t="shared" ca="1" si="23"/>
        <v>46090.85657546296</v>
      </c>
      <c r="O113">
        <v>2</v>
      </c>
      <c r="P113" t="s">
        <v>179</v>
      </c>
      <c r="Q113" t="s">
        <v>245</v>
      </c>
    </row>
    <row r="114" spans="1:17" hidden="1">
      <c r="A114" t="s">
        <v>109</v>
      </c>
      <c r="B114" t="s">
        <v>306</v>
      </c>
      <c r="C114" t="s">
        <v>287</v>
      </c>
      <c r="D114" t="s">
        <v>294</v>
      </c>
      <c r="E114" t="str">
        <f t="shared" si="18"/>
        <v>BobJohnson</v>
      </c>
      <c r="F114" t="s">
        <v>170</v>
      </c>
      <c r="G114" t="s">
        <v>178</v>
      </c>
      <c r="H114" s="7">
        <v>66281</v>
      </c>
      <c r="I114" s="10">
        <v>42708</v>
      </c>
      <c r="J114">
        <f t="shared" ca="1" si="19"/>
        <v>9</v>
      </c>
      <c r="K114">
        <f t="shared" si="20"/>
        <v>2016</v>
      </c>
      <c r="L114">
        <f t="shared" si="21"/>
        <v>12</v>
      </c>
      <c r="M114">
        <f t="shared" si="22"/>
        <v>1</v>
      </c>
      <c r="N114" s="12">
        <f t="shared" ca="1" si="23"/>
        <v>46090.85657546296</v>
      </c>
      <c r="O114">
        <v>2</v>
      </c>
      <c r="P114" t="s">
        <v>179</v>
      </c>
      <c r="Q114" t="s">
        <v>259</v>
      </c>
    </row>
    <row r="115" spans="1:17" hidden="1">
      <c r="A115" t="s">
        <v>116</v>
      </c>
      <c r="B115" t="s">
        <v>304</v>
      </c>
      <c r="C115" t="s">
        <v>285</v>
      </c>
      <c r="D115" t="s">
        <v>292</v>
      </c>
      <c r="E115" t="str">
        <f t="shared" si="18"/>
        <v>SamWilson</v>
      </c>
      <c r="F115" t="s">
        <v>170</v>
      </c>
      <c r="G115" t="s">
        <v>176</v>
      </c>
      <c r="H115" s="7">
        <v>86412</v>
      </c>
      <c r="I115" s="10">
        <v>42757</v>
      </c>
      <c r="J115">
        <f t="shared" ca="1" si="19"/>
        <v>9</v>
      </c>
      <c r="K115">
        <f t="shared" si="20"/>
        <v>2017</v>
      </c>
      <c r="L115">
        <f t="shared" si="21"/>
        <v>1</v>
      </c>
      <c r="M115">
        <f t="shared" si="22"/>
        <v>1</v>
      </c>
      <c r="N115" s="12">
        <f t="shared" ca="1" si="23"/>
        <v>46090.85657546296</v>
      </c>
      <c r="O115">
        <v>2</v>
      </c>
      <c r="P115" t="s">
        <v>181</v>
      </c>
      <c r="Q115" t="s">
        <v>202</v>
      </c>
    </row>
    <row r="116" spans="1:17" hidden="1">
      <c r="A116" t="s">
        <v>119</v>
      </c>
      <c r="B116" t="s">
        <v>305</v>
      </c>
      <c r="C116" t="s">
        <v>286</v>
      </c>
      <c r="D116" t="s">
        <v>293</v>
      </c>
      <c r="E116" t="str">
        <f t="shared" si="18"/>
        <v>ChrisLee</v>
      </c>
      <c r="F116" t="s">
        <v>168</v>
      </c>
      <c r="G116" t="s">
        <v>174</v>
      </c>
      <c r="H116" s="7">
        <v>31293</v>
      </c>
      <c r="I116" s="10" t="s">
        <v>178</v>
      </c>
      <c r="J116" t="str">
        <f t="shared" ca="1" si="19"/>
        <v>Unknown</v>
      </c>
      <c r="K116" t="str">
        <f t="shared" si="20"/>
        <v>Unknown</v>
      </c>
      <c r="L116" t="str">
        <f t="shared" si="21"/>
        <v>Unknown</v>
      </c>
      <c r="M116" t="str">
        <f t="shared" si="22"/>
        <v>Unknown</v>
      </c>
      <c r="N116" s="12">
        <f t="shared" ca="1" si="23"/>
        <v>46090.85657546296</v>
      </c>
      <c r="O116">
        <v>2</v>
      </c>
      <c r="P116" t="s">
        <v>181</v>
      </c>
      <c r="Q116" t="s">
        <v>264</v>
      </c>
    </row>
    <row r="117" spans="1:17" hidden="1">
      <c r="A117" t="s">
        <v>130</v>
      </c>
      <c r="B117" t="s">
        <v>305</v>
      </c>
      <c r="C117" t="s">
        <v>286</v>
      </c>
      <c r="D117" t="s">
        <v>293</v>
      </c>
      <c r="E117" t="str">
        <f t="shared" si="18"/>
        <v>ChrisLee</v>
      </c>
      <c r="F117" t="s">
        <v>168</v>
      </c>
      <c r="G117" t="s">
        <v>173</v>
      </c>
      <c r="H117" s="7">
        <v>45676</v>
      </c>
      <c r="I117" s="10">
        <v>42855</v>
      </c>
      <c r="J117">
        <f t="shared" ca="1" si="19"/>
        <v>8</v>
      </c>
      <c r="K117">
        <f t="shared" si="20"/>
        <v>2017</v>
      </c>
      <c r="L117">
        <f t="shared" si="21"/>
        <v>4</v>
      </c>
      <c r="M117">
        <f t="shared" si="22"/>
        <v>1</v>
      </c>
      <c r="N117" s="12">
        <f t="shared" ca="1" si="23"/>
        <v>46090.85657546296</v>
      </c>
      <c r="O117">
        <v>2</v>
      </c>
      <c r="P117" t="s">
        <v>178</v>
      </c>
      <c r="Q117" t="s">
        <v>269</v>
      </c>
    </row>
    <row r="118" spans="1:17" hidden="1">
      <c r="A118" t="s">
        <v>136</v>
      </c>
      <c r="B118" t="s">
        <v>302</v>
      </c>
      <c r="C118" t="s">
        <v>283</v>
      </c>
      <c r="D118" t="s">
        <v>290</v>
      </c>
      <c r="E118" t="str">
        <f t="shared" si="18"/>
        <v>JohnDoe</v>
      </c>
      <c r="F118" t="s">
        <v>166</v>
      </c>
      <c r="G118" t="s">
        <v>173</v>
      </c>
      <c r="H118" s="7">
        <v>91953</v>
      </c>
      <c r="I118" s="10">
        <v>42897</v>
      </c>
      <c r="J118">
        <f t="shared" ca="1" si="19"/>
        <v>8</v>
      </c>
      <c r="K118">
        <f t="shared" si="20"/>
        <v>2017</v>
      </c>
      <c r="L118">
        <f t="shared" si="21"/>
        <v>6</v>
      </c>
      <c r="M118">
        <f t="shared" si="22"/>
        <v>1</v>
      </c>
      <c r="N118" s="12">
        <f t="shared" ca="1" si="23"/>
        <v>46090.85657546296</v>
      </c>
      <c r="O118">
        <v>2</v>
      </c>
      <c r="P118" t="s">
        <v>180</v>
      </c>
      <c r="Q118" t="s">
        <v>209</v>
      </c>
    </row>
    <row r="119" spans="1:17" hidden="1">
      <c r="A119" t="s">
        <v>148</v>
      </c>
      <c r="B119" t="s">
        <v>306</v>
      </c>
      <c r="C119" t="s">
        <v>287</v>
      </c>
      <c r="D119" t="s">
        <v>294</v>
      </c>
      <c r="E119" t="str">
        <f t="shared" si="18"/>
        <v>BobJohnson</v>
      </c>
      <c r="F119" t="s">
        <v>169</v>
      </c>
      <c r="G119" s="3" t="s">
        <v>178</v>
      </c>
      <c r="H119" s="7">
        <v>73348</v>
      </c>
      <c r="I119" s="10">
        <v>42981</v>
      </c>
      <c r="J119">
        <f t="shared" ca="1" si="19"/>
        <v>8</v>
      </c>
      <c r="K119">
        <f t="shared" si="20"/>
        <v>2017</v>
      </c>
      <c r="L119">
        <f t="shared" si="21"/>
        <v>9</v>
      </c>
      <c r="M119">
        <f t="shared" si="22"/>
        <v>1</v>
      </c>
      <c r="N119" s="12">
        <f t="shared" ca="1" si="23"/>
        <v>46090.85657546296</v>
      </c>
      <c r="O119">
        <v>2</v>
      </c>
      <c r="P119" t="s">
        <v>178</v>
      </c>
      <c r="Q119" t="s">
        <v>243</v>
      </c>
    </row>
    <row r="120" spans="1:17" hidden="1">
      <c r="A120" t="s">
        <v>153</v>
      </c>
      <c r="B120" t="s">
        <v>300</v>
      </c>
      <c r="C120" t="s">
        <v>281</v>
      </c>
      <c r="D120" t="s">
        <v>288</v>
      </c>
      <c r="E120" t="str">
        <f t="shared" si="18"/>
        <v>EveAdams</v>
      </c>
      <c r="F120" t="s">
        <v>178</v>
      </c>
      <c r="G120" s="3" t="s">
        <v>178</v>
      </c>
      <c r="H120" s="7">
        <v>94148</v>
      </c>
      <c r="I120" s="10">
        <v>43016</v>
      </c>
      <c r="J120">
        <f t="shared" ca="1" si="19"/>
        <v>8</v>
      </c>
      <c r="K120">
        <f t="shared" si="20"/>
        <v>2017</v>
      </c>
      <c r="L120">
        <f t="shared" si="21"/>
        <v>10</v>
      </c>
      <c r="M120">
        <f t="shared" si="22"/>
        <v>1</v>
      </c>
      <c r="N120" s="12">
        <f t="shared" ca="1" si="23"/>
        <v>46090.85657546296</v>
      </c>
      <c r="O120">
        <v>2</v>
      </c>
      <c r="P120" t="s">
        <v>178</v>
      </c>
      <c r="Q120" t="s">
        <v>278</v>
      </c>
    </row>
    <row r="121" spans="1:17" hidden="1">
      <c r="A121" t="s">
        <v>155</v>
      </c>
      <c r="B121" t="s">
        <v>302</v>
      </c>
      <c r="C121" t="s">
        <v>283</v>
      </c>
      <c r="D121" t="s">
        <v>290</v>
      </c>
      <c r="E121" t="str">
        <f t="shared" si="18"/>
        <v>JohnDoe</v>
      </c>
      <c r="F121" t="s">
        <v>170</v>
      </c>
      <c r="G121" t="s">
        <v>173</v>
      </c>
      <c r="H121" s="7">
        <v>57141</v>
      </c>
      <c r="I121" s="10">
        <v>43030</v>
      </c>
      <c r="J121">
        <f t="shared" ca="1" si="19"/>
        <v>8</v>
      </c>
      <c r="K121">
        <f t="shared" si="20"/>
        <v>2017</v>
      </c>
      <c r="L121">
        <f t="shared" si="21"/>
        <v>10</v>
      </c>
      <c r="M121">
        <f t="shared" si="22"/>
        <v>1</v>
      </c>
      <c r="N121" s="12">
        <f t="shared" ca="1" si="23"/>
        <v>46090.85657546296</v>
      </c>
      <c r="O121">
        <v>2</v>
      </c>
      <c r="P121" t="s">
        <v>178</v>
      </c>
      <c r="Q121" t="s">
        <v>276</v>
      </c>
    </row>
    <row r="122" spans="1:17" hidden="1">
      <c r="A122" t="s">
        <v>10</v>
      </c>
      <c r="B122" t="s">
        <v>300</v>
      </c>
      <c r="C122" t="s">
        <v>281</v>
      </c>
      <c r="D122" t="s">
        <v>288</v>
      </c>
      <c r="E122" t="str">
        <f t="shared" si="18"/>
        <v>EveAdams</v>
      </c>
      <c r="F122" t="s">
        <v>167</v>
      </c>
      <c r="G122" t="s">
        <v>172</v>
      </c>
      <c r="H122" s="7">
        <v>54255</v>
      </c>
      <c r="I122" s="10">
        <v>42015</v>
      </c>
      <c r="J122">
        <f t="shared" ca="1" si="19"/>
        <v>11</v>
      </c>
      <c r="K122">
        <f t="shared" si="20"/>
        <v>2015</v>
      </c>
      <c r="L122">
        <f t="shared" si="21"/>
        <v>1</v>
      </c>
      <c r="M122">
        <f t="shared" si="22"/>
        <v>1</v>
      </c>
      <c r="N122" s="12">
        <f t="shared" ca="1" si="23"/>
        <v>46090.85657546296</v>
      </c>
      <c r="O122">
        <v>1</v>
      </c>
      <c r="P122" t="s">
        <v>179</v>
      </c>
      <c r="Q122" t="s">
        <v>183</v>
      </c>
    </row>
    <row r="123" spans="1:17" hidden="1">
      <c r="A123" t="s">
        <v>12</v>
      </c>
      <c r="B123" t="s">
        <v>302</v>
      </c>
      <c r="C123" t="s">
        <v>283</v>
      </c>
      <c r="D123" t="s">
        <v>290</v>
      </c>
      <c r="E123" t="str">
        <f t="shared" si="18"/>
        <v>JohnDoe</v>
      </c>
      <c r="F123" t="s">
        <v>168</v>
      </c>
      <c r="G123" t="s">
        <v>173</v>
      </c>
      <c r="H123" s="7">
        <v>94406</v>
      </c>
      <c r="I123" s="10">
        <v>42029</v>
      </c>
      <c r="J123">
        <f t="shared" ca="1" si="19"/>
        <v>11</v>
      </c>
      <c r="K123">
        <f t="shared" si="20"/>
        <v>2015</v>
      </c>
      <c r="L123">
        <f t="shared" si="21"/>
        <v>1</v>
      </c>
      <c r="M123">
        <f t="shared" si="22"/>
        <v>1</v>
      </c>
      <c r="N123" s="12">
        <f t="shared" ca="1" si="23"/>
        <v>46090.85657546296</v>
      </c>
      <c r="O123">
        <v>1</v>
      </c>
      <c r="P123" t="s">
        <v>180</v>
      </c>
      <c r="Q123" t="s">
        <v>185</v>
      </c>
    </row>
    <row r="124" spans="1:17" hidden="1">
      <c r="A124" t="s">
        <v>13</v>
      </c>
      <c r="B124" t="s">
        <v>303</v>
      </c>
      <c r="C124" t="s">
        <v>284</v>
      </c>
      <c r="D124" t="s">
        <v>291</v>
      </c>
      <c r="E124" t="str">
        <f t="shared" si="18"/>
        <v>JaneSmith</v>
      </c>
      <c r="F124" t="s">
        <v>168</v>
      </c>
      <c r="G124" t="s">
        <v>172</v>
      </c>
      <c r="H124" s="7">
        <v>64120</v>
      </c>
      <c r="I124" s="10">
        <v>42036</v>
      </c>
      <c r="J124">
        <f t="shared" ca="1" si="19"/>
        <v>11</v>
      </c>
      <c r="K124">
        <f t="shared" si="20"/>
        <v>2015</v>
      </c>
      <c r="L124">
        <f t="shared" si="21"/>
        <v>2</v>
      </c>
      <c r="M124">
        <f t="shared" si="22"/>
        <v>1</v>
      </c>
      <c r="N124" s="12">
        <f t="shared" ca="1" si="23"/>
        <v>46090.85657546296</v>
      </c>
      <c r="O124">
        <v>1</v>
      </c>
      <c r="P124" t="s">
        <v>180</v>
      </c>
      <c r="Q124" t="s">
        <v>186</v>
      </c>
    </row>
    <row r="125" spans="1:17" hidden="1">
      <c r="A125" t="s">
        <v>19</v>
      </c>
      <c r="B125" t="s">
        <v>304</v>
      </c>
      <c r="C125" t="s">
        <v>285</v>
      </c>
      <c r="D125" t="s">
        <v>292</v>
      </c>
      <c r="E125" t="str">
        <f t="shared" si="18"/>
        <v>SamWilson</v>
      </c>
      <c r="F125" t="s">
        <v>166</v>
      </c>
      <c r="G125" t="s">
        <v>175</v>
      </c>
      <c r="H125" s="7">
        <v>64247</v>
      </c>
      <c r="I125" s="10">
        <v>42078</v>
      </c>
      <c r="J125">
        <f t="shared" ca="1" si="19"/>
        <v>10</v>
      </c>
      <c r="K125">
        <f t="shared" si="20"/>
        <v>2015</v>
      </c>
      <c r="L125">
        <f t="shared" si="21"/>
        <v>3</v>
      </c>
      <c r="M125">
        <f t="shared" si="22"/>
        <v>1</v>
      </c>
      <c r="N125" s="12">
        <f t="shared" ca="1" si="23"/>
        <v>46090.85657546296</v>
      </c>
      <c r="O125">
        <v>1</v>
      </c>
      <c r="P125" t="s">
        <v>181</v>
      </c>
      <c r="Q125" t="s">
        <v>191</v>
      </c>
    </row>
    <row r="126" spans="1:17" hidden="1">
      <c r="A126" t="s">
        <v>26</v>
      </c>
      <c r="B126" t="s">
        <v>303</v>
      </c>
      <c r="C126" t="s">
        <v>284</v>
      </c>
      <c r="D126" t="s">
        <v>291</v>
      </c>
      <c r="E126" t="str">
        <f t="shared" si="18"/>
        <v>JaneSmith</v>
      </c>
      <c r="F126" t="s">
        <v>166</v>
      </c>
      <c r="G126" t="s">
        <v>176</v>
      </c>
      <c r="H126" s="7">
        <v>41341</v>
      </c>
      <c r="I126" s="10">
        <v>42127</v>
      </c>
      <c r="J126">
        <f t="shared" ca="1" si="19"/>
        <v>10</v>
      </c>
      <c r="K126">
        <f t="shared" si="20"/>
        <v>2015</v>
      </c>
      <c r="L126">
        <f t="shared" si="21"/>
        <v>5</v>
      </c>
      <c r="M126">
        <f t="shared" si="22"/>
        <v>1</v>
      </c>
      <c r="N126" s="12">
        <f t="shared" ca="1" si="23"/>
        <v>46090.85657546296</v>
      </c>
      <c r="O126">
        <v>1</v>
      </c>
      <c r="P126" t="s">
        <v>179</v>
      </c>
      <c r="Q126" t="s">
        <v>197</v>
      </c>
    </row>
    <row r="127" spans="1:17" hidden="1">
      <c r="A127" t="s">
        <v>33</v>
      </c>
      <c r="B127" t="s">
        <v>304</v>
      </c>
      <c r="C127" t="s">
        <v>285</v>
      </c>
      <c r="D127" t="s">
        <v>292</v>
      </c>
      <c r="E127" t="str">
        <f t="shared" si="18"/>
        <v>SamWilson</v>
      </c>
      <c r="F127" t="s">
        <v>166</v>
      </c>
      <c r="G127" s="3" t="s">
        <v>178</v>
      </c>
      <c r="H127" s="7">
        <v>91005</v>
      </c>
      <c r="I127" s="10">
        <v>42176</v>
      </c>
      <c r="J127">
        <f t="shared" ca="1" si="19"/>
        <v>10</v>
      </c>
      <c r="K127">
        <f t="shared" si="20"/>
        <v>2015</v>
      </c>
      <c r="L127">
        <f t="shared" si="21"/>
        <v>6</v>
      </c>
      <c r="M127">
        <f t="shared" si="22"/>
        <v>1</v>
      </c>
      <c r="N127" s="12">
        <f t="shared" ca="1" si="23"/>
        <v>46090.85657546296</v>
      </c>
      <c r="O127">
        <v>1</v>
      </c>
      <c r="P127" t="s">
        <v>179</v>
      </c>
      <c r="Q127" t="s">
        <v>204</v>
      </c>
    </row>
    <row r="128" spans="1:17" hidden="1">
      <c r="A128" t="s">
        <v>39</v>
      </c>
      <c r="B128" s="3" t="s">
        <v>178</v>
      </c>
      <c r="C128" s="3" t="s">
        <v>178</v>
      </c>
      <c r="D128" t="s">
        <v>178</v>
      </c>
      <c r="E128" t="str">
        <f t="shared" si="18"/>
        <v>Unknown</v>
      </c>
      <c r="F128" t="s">
        <v>170</v>
      </c>
      <c r="G128" s="3" t="s">
        <v>178</v>
      </c>
      <c r="H128" s="7">
        <v>92259</v>
      </c>
      <c r="I128" s="10" t="s">
        <v>178</v>
      </c>
      <c r="J128" t="str">
        <f t="shared" ca="1" si="19"/>
        <v>Unknown</v>
      </c>
      <c r="K128" t="str">
        <f t="shared" si="20"/>
        <v>Unknown</v>
      </c>
      <c r="L128" t="str">
        <f t="shared" si="21"/>
        <v>Unknown</v>
      </c>
      <c r="M128" t="str">
        <f t="shared" si="22"/>
        <v>Unknown</v>
      </c>
      <c r="N128" s="12">
        <f t="shared" ca="1" si="23"/>
        <v>46090.85657546296</v>
      </c>
      <c r="O128">
        <v>1</v>
      </c>
      <c r="P128" t="s">
        <v>178</v>
      </c>
      <c r="Q128" t="s">
        <v>210</v>
      </c>
    </row>
    <row r="129" spans="1:17" hidden="1">
      <c r="A129" t="s">
        <v>51</v>
      </c>
      <c r="B129" t="s">
        <v>306</v>
      </c>
      <c r="C129" t="s">
        <v>287</v>
      </c>
      <c r="D129" t="s">
        <v>294</v>
      </c>
      <c r="E129" t="str">
        <f t="shared" si="18"/>
        <v>BobJohnson</v>
      </c>
      <c r="F129" t="s">
        <v>178</v>
      </c>
      <c r="G129" t="s">
        <v>176</v>
      </c>
      <c r="H129" s="7">
        <v>64913</v>
      </c>
      <c r="I129" s="10">
        <v>42302</v>
      </c>
      <c r="J129">
        <f t="shared" ca="1" si="19"/>
        <v>10</v>
      </c>
      <c r="K129">
        <f t="shared" si="20"/>
        <v>2015</v>
      </c>
      <c r="L129">
        <f t="shared" si="21"/>
        <v>10</v>
      </c>
      <c r="M129">
        <f t="shared" si="22"/>
        <v>1</v>
      </c>
      <c r="N129" s="12">
        <f t="shared" ca="1" si="23"/>
        <v>46090.85657546296</v>
      </c>
      <c r="O129">
        <v>1</v>
      </c>
      <c r="P129" t="s">
        <v>181</v>
      </c>
      <c r="Q129" t="s">
        <v>221</v>
      </c>
    </row>
    <row r="130" spans="1:17" hidden="1">
      <c r="A130" t="s">
        <v>53</v>
      </c>
      <c r="B130" t="s">
        <v>305</v>
      </c>
      <c r="C130" t="s">
        <v>286</v>
      </c>
      <c r="D130" t="s">
        <v>293</v>
      </c>
      <c r="E130" t="str">
        <f t="shared" ref="E130:E151" si="24">TRIM(B130)</f>
        <v>ChrisLee</v>
      </c>
      <c r="F130" t="s">
        <v>166</v>
      </c>
      <c r="G130" s="3" t="s">
        <v>178</v>
      </c>
      <c r="H130" s="7">
        <v>81610</v>
      </c>
      <c r="I130" s="10">
        <v>42316</v>
      </c>
      <c r="J130">
        <f t="shared" ref="J130:J151" ca="1" si="25">IF(I130="Unknown","Unknown",DATEDIF(I130,TODAY(),"Y"))</f>
        <v>10</v>
      </c>
      <c r="K130">
        <f t="shared" ref="K130:K151" si="26">IF(I130="Unknown","Unknown",YEAR(I130))</f>
        <v>2015</v>
      </c>
      <c r="L130">
        <f t="shared" ref="L130:L151" si="27">IF(I130="Unknown","Unknown",MONTH(I130))</f>
        <v>11</v>
      </c>
      <c r="M130">
        <f t="shared" ref="M130:M151" si="28">IF(I130="Unknown","Unknown",WEEKDAY(I130))</f>
        <v>1</v>
      </c>
      <c r="N130" s="12">
        <f t="shared" ref="N130:N151" ca="1" si="29">NOW()</f>
        <v>46090.85657546296</v>
      </c>
      <c r="O130">
        <v>1</v>
      </c>
      <c r="P130" t="s">
        <v>178</v>
      </c>
      <c r="Q130" t="s">
        <v>223</v>
      </c>
    </row>
    <row r="131" spans="1:17" hidden="1">
      <c r="A131" t="s">
        <v>61</v>
      </c>
      <c r="B131" t="s">
        <v>300</v>
      </c>
      <c r="C131" t="s">
        <v>281</v>
      </c>
      <c r="D131" t="s">
        <v>288</v>
      </c>
      <c r="E131" t="str">
        <f t="shared" si="24"/>
        <v>EveAdams</v>
      </c>
      <c r="F131" t="s">
        <v>170</v>
      </c>
      <c r="G131" s="3" t="s">
        <v>178</v>
      </c>
      <c r="H131" s="7">
        <v>30280</v>
      </c>
      <c r="I131" s="10">
        <v>42372</v>
      </c>
      <c r="J131">
        <f t="shared" ca="1" si="25"/>
        <v>10</v>
      </c>
      <c r="K131">
        <f t="shared" si="26"/>
        <v>2016</v>
      </c>
      <c r="L131">
        <f t="shared" si="27"/>
        <v>1</v>
      </c>
      <c r="M131">
        <f t="shared" si="28"/>
        <v>1</v>
      </c>
      <c r="N131" s="12">
        <f t="shared" ca="1" si="29"/>
        <v>46090.85657546296</v>
      </c>
      <c r="O131">
        <v>1</v>
      </c>
      <c r="P131" t="s">
        <v>178</v>
      </c>
      <c r="Q131" t="s">
        <v>228</v>
      </c>
    </row>
    <row r="132" spans="1:17" hidden="1">
      <c r="A132" t="s">
        <v>65</v>
      </c>
      <c r="B132" t="s">
        <v>302</v>
      </c>
      <c r="C132" t="s">
        <v>283</v>
      </c>
      <c r="D132" t="s">
        <v>290</v>
      </c>
      <c r="E132" t="str">
        <f t="shared" si="24"/>
        <v>JohnDoe</v>
      </c>
      <c r="F132" t="s">
        <v>168</v>
      </c>
      <c r="G132" t="s">
        <v>176</v>
      </c>
      <c r="H132" s="7">
        <v>60011</v>
      </c>
      <c r="I132" s="10">
        <v>42400</v>
      </c>
      <c r="J132">
        <f t="shared" ca="1" si="25"/>
        <v>10</v>
      </c>
      <c r="K132">
        <f t="shared" si="26"/>
        <v>2016</v>
      </c>
      <c r="L132">
        <f t="shared" si="27"/>
        <v>1</v>
      </c>
      <c r="M132">
        <f t="shared" si="28"/>
        <v>1</v>
      </c>
      <c r="N132" s="12">
        <f t="shared" ca="1" si="29"/>
        <v>46090.85657546296</v>
      </c>
      <c r="O132">
        <v>1</v>
      </c>
      <c r="P132" t="s">
        <v>180</v>
      </c>
      <c r="Q132" t="s">
        <v>231</v>
      </c>
    </row>
    <row r="133" spans="1:17" hidden="1">
      <c r="A133" t="s">
        <v>68</v>
      </c>
      <c r="B133" t="s">
        <v>304</v>
      </c>
      <c r="C133" t="s">
        <v>285</v>
      </c>
      <c r="D133" t="s">
        <v>292</v>
      </c>
      <c r="E133" t="str">
        <f t="shared" si="24"/>
        <v>SamWilson</v>
      </c>
      <c r="F133" t="s">
        <v>166</v>
      </c>
      <c r="G133" t="s">
        <v>173</v>
      </c>
      <c r="H133" s="7">
        <v>82033</v>
      </c>
      <c r="I133" s="10">
        <v>42421</v>
      </c>
      <c r="J133">
        <f t="shared" ca="1" si="25"/>
        <v>10</v>
      </c>
      <c r="K133">
        <f t="shared" si="26"/>
        <v>2016</v>
      </c>
      <c r="L133">
        <f t="shared" si="27"/>
        <v>2</v>
      </c>
      <c r="M133">
        <f t="shared" si="28"/>
        <v>1</v>
      </c>
      <c r="N133" s="12">
        <f t="shared" ca="1" si="29"/>
        <v>46090.85657546296</v>
      </c>
      <c r="O133">
        <v>1</v>
      </c>
      <c r="P133" t="s">
        <v>178</v>
      </c>
      <c r="Q133" t="s">
        <v>223</v>
      </c>
    </row>
    <row r="134" spans="1:17" hidden="1">
      <c r="A134" t="s">
        <v>73</v>
      </c>
      <c r="B134" t="s">
        <v>302</v>
      </c>
      <c r="C134" t="s">
        <v>283</v>
      </c>
      <c r="D134" t="s">
        <v>290</v>
      </c>
      <c r="E134" t="str">
        <f t="shared" si="24"/>
        <v>JohnDoe</v>
      </c>
      <c r="F134" t="s">
        <v>169</v>
      </c>
      <c r="G134" t="s">
        <v>174</v>
      </c>
      <c r="H134" s="7">
        <v>84737</v>
      </c>
      <c r="I134" s="10">
        <v>42456</v>
      </c>
      <c r="J134">
        <f t="shared" ca="1" si="25"/>
        <v>9</v>
      </c>
      <c r="K134">
        <f t="shared" si="26"/>
        <v>2016</v>
      </c>
      <c r="L134">
        <f t="shared" si="27"/>
        <v>3</v>
      </c>
      <c r="M134">
        <f t="shared" si="28"/>
        <v>1</v>
      </c>
      <c r="N134" s="12">
        <f t="shared" ca="1" si="29"/>
        <v>46090.85657546296</v>
      </c>
      <c r="O134">
        <v>1</v>
      </c>
      <c r="P134" t="s">
        <v>180</v>
      </c>
      <c r="Q134" t="s">
        <v>236</v>
      </c>
    </row>
    <row r="135" spans="1:17" hidden="1">
      <c r="A135" t="s">
        <v>78</v>
      </c>
      <c r="B135" t="s">
        <v>306</v>
      </c>
      <c r="C135" t="s">
        <v>287</v>
      </c>
      <c r="D135" t="s">
        <v>294</v>
      </c>
      <c r="E135" t="str">
        <f t="shared" si="24"/>
        <v>BobJohnson</v>
      </c>
      <c r="F135" t="s">
        <v>166</v>
      </c>
      <c r="G135" t="s">
        <v>174</v>
      </c>
      <c r="H135" s="7">
        <v>77096</v>
      </c>
      <c r="I135" s="10">
        <v>42491</v>
      </c>
      <c r="J135">
        <f t="shared" ca="1" si="25"/>
        <v>9</v>
      </c>
      <c r="K135">
        <f t="shared" si="26"/>
        <v>2016</v>
      </c>
      <c r="L135">
        <f t="shared" si="27"/>
        <v>5</v>
      </c>
      <c r="M135">
        <f t="shared" si="28"/>
        <v>1</v>
      </c>
      <c r="N135" s="12">
        <f t="shared" ca="1" si="29"/>
        <v>46090.85657546296</v>
      </c>
      <c r="O135">
        <v>1</v>
      </c>
      <c r="P135" t="s">
        <v>178</v>
      </c>
      <c r="Q135" t="s">
        <v>240</v>
      </c>
    </row>
    <row r="136" spans="1:17" hidden="1">
      <c r="A136" t="s">
        <v>84</v>
      </c>
      <c r="B136" s="3" t="s">
        <v>178</v>
      </c>
      <c r="C136" s="3" t="s">
        <v>178</v>
      </c>
      <c r="D136" t="s">
        <v>178</v>
      </c>
      <c r="E136" t="str">
        <f t="shared" si="24"/>
        <v>Unknown</v>
      </c>
      <c r="F136" t="s">
        <v>168</v>
      </c>
      <c r="G136" t="s">
        <v>178</v>
      </c>
      <c r="H136" s="7">
        <v>96142</v>
      </c>
      <c r="I136" s="10">
        <v>42533</v>
      </c>
      <c r="J136">
        <f t="shared" ca="1" si="25"/>
        <v>9</v>
      </c>
      <c r="K136">
        <f t="shared" si="26"/>
        <v>2016</v>
      </c>
      <c r="L136">
        <f t="shared" si="27"/>
        <v>6</v>
      </c>
      <c r="M136">
        <f t="shared" si="28"/>
        <v>1</v>
      </c>
      <c r="N136" s="12">
        <f t="shared" ca="1" si="29"/>
        <v>46090.85657546296</v>
      </c>
      <c r="O136">
        <v>1</v>
      </c>
      <c r="P136" t="s">
        <v>179</v>
      </c>
      <c r="Q136" t="s">
        <v>242</v>
      </c>
    </row>
    <row r="137" spans="1:17" hidden="1">
      <c r="A137" t="s">
        <v>85</v>
      </c>
      <c r="B137" t="s">
        <v>300</v>
      </c>
      <c r="C137" t="s">
        <v>281</v>
      </c>
      <c r="D137" t="s">
        <v>288</v>
      </c>
      <c r="E137" t="str">
        <f t="shared" si="24"/>
        <v>EveAdams</v>
      </c>
      <c r="F137" t="s">
        <v>169</v>
      </c>
      <c r="G137" t="s">
        <v>174</v>
      </c>
      <c r="H137" s="7">
        <v>94301</v>
      </c>
      <c r="I137" s="10">
        <v>42540</v>
      </c>
      <c r="J137">
        <f t="shared" ca="1" si="25"/>
        <v>9</v>
      </c>
      <c r="K137">
        <f t="shared" si="26"/>
        <v>2016</v>
      </c>
      <c r="L137">
        <f t="shared" si="27"/>
        <v>6</v>
      </c>
      <c r="M137">
        <f t="shared" si="28"/>
        <v>1</v>
      </c>
      <c r="N137" s="12">
        <f t="shared" ca="1" si="29"/>
        <v>46090.85657546296</v>
      </c>
      <c r="O137">
        <v>1</v>
      </c>
      <c r="P137" t="s">
        <v>180</v>
      </c>
      <c r="Q137" t="s">
        <v>223</v>
      </c>
    </row>
    <row r="138" spans="1:17" hidden="1">
      <c r="A138" t="s">
        <v>86</v>
      </c>
      <c r="B138" t="s">
        <v>303</v>
      </c>
      <c r="C138" t="s">
        <v>284</v>
      </c>
      <c r="D138" t="s">
        <v>291</v>
      </c>
      <c r="E138" t="str">
        <f t="shared" si="24"/>
        <v>JaneSmith</v>
      </c>
      <c r="F138" t="s">
        <v>178</v>
      </c>
      <c r="G138" t="s">
        <v>175</v>
      </c>
      <c r="H138" s="7">
        <v>69166</v>
      </c>
      <c r="I138" s="10">
        <v>42547</v>
      </c>
      <c r="J138">
        <f t="shared" ca="1" si="25"/>
        <v>9</v>
      </c>
      <c r="K138">
        <f t="shared" si="26"/>
        <v>2016</v>
      </c>
      <c r="L138">
        <f t="shared" si="27"/>
        <v>6</v>
      </c>
      <c r="M138">
        <f t="shared" si="28"/>
        <v>1</v>
      </c>
      <c r="N138" s="12">
        <f t="shared" ca="1" si="29"/>
        <v>46090.85657546296</v>
      </c>
      <c r="O138">
        <v>1</v>
      </c>
      <c r="P138" t="s">
        <v>181</v>
      </c>
      <c r="Q138" t="s">
        <v>243</v>
      </c>
    </row>
    <row r="139" spans="1:17" hidden="1">
      <c r="A139" t="s">
        <v>91</v>
      </c>
      <c r="B139" t="s">
        <v>300</v>
      </c>
      <c r="C139" t="s">
        <v>281</v>
      </c>
      <c r="D139" t="s">
        <v>288</v>
      </c>
      <c r="E139" t="str">
        <f t="shared" si="24"/>
        <v>EveAdams</v>
      </c>
      <c r="F139" t="s">
        <v>169</v>
      </c>
      <c r="G139" t="s">
        <v>175</v>
      </c>
      <c r="H139" s="7">
        <v>42262</v>
      </c>
      <c r="I139" s="10">
        <v>42582</v>
      </c>
      <c r="J139">
        <f t="shared" ca="1" si="25"/>
        <v>9</v>
      </c>
      <c r="K139">
        <f t="shared" si="26"/>
        <v>2016</v>
      </c>
      <c r="L139">
        <f t="shared" si="27"/>
        <v>7</v>
      </c>
      <c r="M139">
        <f t="shared" si="28"/>
        <v>1</v>
      </c>
      <c r="N139" s="12">
        <f t="shared" ca="1" si="29"/>
        <v>46090.85657546296</v>
      </c>
      <c r="O139">
        <v>1</v>
      </c>
      <c r="P139" t="s">
        <v>178</v>
      </c>
      <c r="Q139" t="s">
        <v>247</v>
      </c>
    </row>
    <row r="140" spans="1:17" hidden="1">
      <c r="A140" t="s">
        <v>100</v>
      </c>
      <c r="B140" t="s">
        <v>301</v>
      </c>
      <c r="C140" t="s">
        <v>282</v>
      </c>
      <c r="D140" t="s">
        <v>289</v>
      </c>
      <c r="E140" t="str">
        <f t="shared" si="24"/>
        <v>AliceBrown</v>
      </c>
      <c r="F140" t="s">
        <v>167</v>
      </c>
      <c r="G140" t="s">
        <v>176</v>
      </c>
      <c r="H140" s="7">
        <v>69420</v>
      </c>
      <c r="I140" s="10">
        <v>42645</v>
      </c>
      <c r="J140">
        <f t="shared" ca="1" si="25"/>
        <v>9</v>
      </c>
      <c r="K140">
        <f t="shared" si="26"/>
        <v>2016</v>
      </c>
      <c r="L140">
        <f t="shared" si="27"/>
        <v>10</v>
      </c>
      <c r="M140">
        <f t="shared" si="28"/>
        <v>1</v>
      </c>
      <c r="N140" s="12">
        <f t="shared" ca="1" si="29"/>
        <v>46090.85657546296</v>
      </c>
      <c r="O140">
        <v>1</v>
      </c>
      <c r="P140" t="s">
        <v>180</v>
      </c>
      <c r="Q140" t="s">
        <v>225</v>
      </c>
    </row>
    <row r="141" spans="1:17" hidden="1">
      <c r="A141" t="s">
        <v>106</v>
      </c>
      <c r="B141" t="s">
        <v>304</v>
      </c>
      <c r="C141" t="s">
        <v>285</v>
      </c>
      <c r="D141" t="s">
        <v>292</v>
      </c>
      <c r="E141" t="str">
        <f t="shared" si="24"/>
        <v>SamWilson</v>
      </c>
      <c r="F141" t="s">
        <v>167</v>
      </c>
      <c r="G141" t="s">
        <v>172</v>
      </c>
      <c r="H141" s="7">
        <v>89333</v>
      </c>
      <c r="I141" s="10">
        <v>42687</v>
      </c>
      <c r="J141">
        <f t="shared" ca="1" si="25"/>
        <v>9</v>
      </c>
      <c r="K141">
        <f t="shared" si="26"/>
        <v>2016</v>
      </c>
      <c r="L141">
        <f t="shared" si="27"/>
        <v>11</v>
      </c>
      <c r="M141">
        <f t="shared" si="28"/>
        <v>1</v>
      </c>
      <c r="N141" s="12">
        <f t="shared" ca="1" si="29"/>
        <v>46090.85657546296</v>
      </c>
      <c r="O141">
        <v>1</v>
      </c>
      <c r="P141" t="s">
        <v>180</v>
      </c>
      <c r="Q141" t="s">
        <v>256</v>
      </c>
    </row>
    <row r="142" spans="1:17" hidden="1">
      <c r="A142" t="s">
        <v>113</v>
      </c>
      <c r="B142" t="s">
        <v>303</v>
      </c>
      <c r="C142" t="s">
        <v>284</v>
      </c>
      <c r="D142" t="s">
        <v>291</v>
      </c>
      <c r="E142" t="str">
        <f t="shared" si="24"/>
        <v>JaneSmith</v>
      </c>
      <c r="F142" t="s">
        <v>178</v>
      </c>
      <c r="G142" t="s">
        <v>176</v>
      </c>
      <c r="H142" s="7">
        <v>61556</v>
      </c>
      <c r="I142" s="10">
        <v>42736</v>
      </c>
      <c r="J142">
        <f t="shared" ca="1" si="25"/>
        <v>9</v>
      </c>
      <c r="K142">
        <f t="shared" si="26"/>
        <v>2017</v>
      </c>
      <c r="L142">
        <f t="shared" si="27"/>
        <v>1</v>
      </c>
      <c r="M142">
        <f t="shared" si="28"/>
        <v>1</v>
      </c>
      <c r="N142" s="12">
        <f t="shared" ca="1" si="29"/>
        <v>46090.85657546296</v>
      </c>
      <c r="O142">
        <v>1</v>
      </c>
      <c r="P142" t="s">
        <v>178</v>
      </c>
      <c r="Q142" t="s">
        <v>259</v>
      </c>
    </row>
    <row r="143" spans="1:17" hidden="1">
      <c r="A143" t="s">
        <v>117</v>
      </c>
      <c r="B143" t="s">
        <v>304</v>
      </c>
      <c r="C143" t="s">
        <v>285</v>
      </c>
      <c r="D143" t="s">
        <v>292</v>
      </c>
      <c r="E143" t="str">
        <f t="shared" si="24"/>
        <v>SamWilson</v>
      </c>
      <c r="F143" t="s">
        <v>167</v>
      </c>
      <c r="G143" s="3" t="s">
        <v>178</v>
      </c>
      <c r="H143" s="7">
        <v>66761</v>
      </c>
      <c r="I143" s="10">
        <v>42764</v>
      </c>
      <c r="J143">
        <f t="shared" ca="1" si="25"/>
        <v>9</v>
      </c>
      <c r="K143">
        <f t="shared" si="26"/>
        <v>2017</v>
      </c>
      <c r="L143">
        <f t="shared" si="27"/>
        <v>1</v>
      </c>
      <c r="M143">
        <f t="shared" si="28"/>
        <v>1</v>
      </c>
      <c r="N143" s="12">
        <f t="shared" ca="1" si="29"/>
        <v>46090.85657546296</v>
      </c>
      <c r="O143">
        <v>1</v>
      </c>
      <c r="P143" t="s">
        <v>178</v>
      </c>
      <c r="Q143" t="s">
        <v>262</v>
      </c>
    </row>
    <row r="144" spans="1:17" hidden="1">
      <c r="A144" t="s">
        <v>118</v>
      </c>
      <c r="B144" t="s">
        <v>303</v>
      </c>
      <c r="C144" t="s">
        <v>284</v>
      </c>
      <c r="D144" t="s">
        <v>291</v>
      </c>
      <c r="E144" t="str">
        <f t="shared" si="24"/>
        <v>JaneSmith</v>
      </c>
      <c r="F144" t="s">
        <v>178</v>
      </c>
      <c r="G144" t="s">
        <v>174</v>
      </c>
      <c r="H144" s="7">
        <v>88850</v>
      </c>
      <c r="I144" s="10">
        <v>42771</v>
      </c>
      <c r="J144">
        <f t="shared" ca="1" si="25"/>
        <v>9</v>
      </c>
      <c r="K144">
        <f t="shared" si="26"/>
        <v>2017</v>
      </c>
      <c r="L144">
        <f t="shared" si="27"/>
        <v>2</v>
      </c>
      <c r="M144">
        <f t="shared" si="28"/>
        <v>1</v>
      </c>
      <c r="N144" s="12">
        <f t="shared" ca="1" si="29"/>
        <v>46090.85657546296</v>
      </c>
      <c r="O144">
        <v>1</v>
      </c>
      <c r="P144" t="s">
        <v>181</v>
      </c>
      <c r="Q144" t="s">
        <v>263</v>
      </c>
    </row>
    <row r="145" spans="1:17" hidden="1">
      <c r="A145" t="s">
        <v>122</v>
      </c>
      <c r="B145" t="s">
        <v>301</v>
      </c>
      <c r="C145" t="s">
        <v>282</v>
      </c>
      <c r="D145" t="s">
        <v>289</v>
      </c>
      <c r="E145" t="str">
        <f t="shared" si="24"/>
        <v>AliceBrown</v>
      </c>
      <c r="F145" t="s">
        <v>169</v>
      </c>
      <c r="G145" t="s">
        <v>173</v>
      </c>
      <c r="H145" s="7">
        <v>47653</v>
      </c>
      <c r="I145" s="10">
        <v>42799</v>
      </c>
      <c r="J145">
        <f t="shared" ca="1" si="25"/>
        <v>9</v>
      </c>
      <c r="K145">
        <f t="shared" si="26"/>
        <v>2017</v>
      </c>
      <c r="L145">
        <f t="shared" si="27"/>
        <v>3</v>
      </c>
      <c r="M145">
        <f t="shared" si="28"/>
        <v>1</v>
      </c>
      <c r="N145" s="12">
        <f t="shared" ca="1" si="29"/>
        <v>46090.85657546296</v>
      </c>
      <c r="O145">
        <v>1</v>
      </c>
      <c r="P145" t="s">
        <v>180</v>
      </c>
      <c r="Q145" t="s">
        <v>265</v>
      </c>
    </row>
    <row r="146" spans="1:17" hidden="1">
      <c r="A146" t="s">
        <v>126</v>
      </c>
      <c r="B146" t="s">
        <v>306</v>
      </c>
      <c r="C146" t="s">
        <v>287</v>
      </c>
      <c r="D146" t="s">
        <v>294</v>
      </c>
      <c r="E146" t="str">
        <f t="shared" si="24"/>
        <v>BobJohnson</v>
      </c>
      <c r="F146" t="s">
        <v>170</v>
      </c>
      <c r="G146" s="3" t="s">
        <v>178</v>
      </c>
      <c r="H146" s="7">
        <v>73483</v>
      </c>
      <c r="I146" s="10">
        <v>42827</v>
      </c>
      <c r="J146">
        <f t="shared" ca="1" si="25"/>
        <v>8</v>
      </c>
      <c r="K146">
        <f t="shared" si="26"/>
        <v>2017</v>
      </c>
      <c r="L146">
        <f t="shared" si="27"/>
        <v>4</v>
      </c>
      <c r="M146">
        <f t="shared" si="28"/>
        <v>1</v>
      </c>
      <c r="N146" s="12">
        <f t="shared" ca="1" si="29"/>
        <v>46090.85657546296</v>
      </c>
      <c r="O146">
        <v>1</v>
      </c>
      <c r="P146" t="s">
        <v>178</v>
      </c>
      <c r="Q146" t="s">
        <v>266</v>
      </c>
    </row>
    <row r="147" spans="1:17" hidden="1">
      <c r="A147" t="s">
        <v>133</v>
      </c>
      <c r="B147" t="s">
        <v>302</v>
      </c>
      <c r="C147" t="s">
        <v>283</v>
      </c>
      <c r="D147" t="s">
        <v>290</v>
      </c>
      <c r="E147" t="str">
        <f t="shared" si="24"/>
        <v>JohnDoe</v>
      </c>
      <c r="F147" t="s">
        <v>169</v>
      </c>
      <c r="G147" s="3" t="s">
        <v>178</v>
      </c>
      <c r="H147" s="7">
        <v>60034</v>
      </c>
      <c r="I147" s="10">
        <v>42876</v>
      </c>
      <c r="J147">
        <f t="shared" ca="1" si="25"/>
        <v>8</v>
      </c>
      <c r="K147">
        <f t="shared" si="26"/>
        <v>2017</v>
      </c>
      <c r="L147">
        <f t="shared" si="27"/>
        <v>5</v>
      </c>
      <c r="M147">
        <f t="shared" si="28"/>
        <v>1</v>
      </c>
      <c r="N147" s="12">
        <f t="shared" ca="1" si="29"/>
        <v>46090.85657546296</v>
      </c>
      <c r="O147">
        <v>1</v>
      </c>
      <c r="P147" t="s">
        <v>181</v>
      </c>
      <c r="Q147" t="s">
        <v>271</v>
      </c>
    </row>
    <row r="148" spans="1:17" hidden="1">
      <c r="A148" t="s">
        <v>137</v>
      </c>
      <c r="B148" t="s">
        <v>305</v>
      </c>
      <c r="C148" t="s">
        <v>286</v>
      </c>
      <c r="D148" t="s">
        <v>293</v>
      </c>
      <c r="E148" t="str">
        <f t="shared" si="24"/>
        <v>ChrisLee</v>
      </c>
      <c r="F148" t="s">
        <v>168</v>
      </c>
      <c r="G148" t="s">
        <v>173</v>
      </c>
      <c r="H148" s="7">
        <v>30402</v>
      </c>
      <c r="I148" s="10">
        <v>42904</v>
      </c>
      <c r="J148">
        <f t="shared" ca="1" si="25"/>
        <v>8</v>
      </c>
      <c r="K148">
        <f t="shared" si="26"/>
        <v>2017</v>
      </c>
      <c r="L148">
        <f t="shared" si="27"/>
        <v>6</v>
      </c>
      <c r="M148">
        <f t="shared" si="28"/>
        <v>1</v>
      </c>
      <c r="N148" s="12">
        <f t="shared" ca="1" si="29"/>
        <v>46090.85657546296</v>
      </c>
      <c r="O148">
        <v>1</v>
      </c>
      <c r="P148" t="s">
        <v>178</v>
      </c>
      <c r="Q148" t="s">
        <v>274</v>
      </c>
    </row>
    <row r="149" spans="1:17" hidden="1">
      <c r="A149" t="s">
        <v>143</v>
      </c>
      <c r="B149" t="s">
        <v>300</v>
      </c>
      <c r="C149" t="s">
        <v>281</v>
      </c>
      <c r="D149" t="s">
        <v>288</v>
      </c>
      <c r="E149" t="str">
        <f t="shared" si="24"/>
        <v>EveAdams</v>
      </c>
      <c r="F149" t="s">
        <v>170</v>
      </c>
      <c r="G149" t="s">
        <v>174</v>
      </c>
      <c r="H149" s="7">
        <v>62476</v>
      </c>
      <c r="I149" s="10">
        <v>42946</v>
      </c>
      <c r="J149">
        <f t="shared" ca="1" si="25"/>
        <v>8</v>
      </c>
      <c r="K149">
        <f t="shared" si="26"/>
        <v>2017</v>
      </c>
      <c r="L149">
        <f t="shared" si="27"/>
        <v>7</v>
      </c>
      <c r="M149">
        <f t="shared" si="28"/>
        <v>1</v>
      </c>
      <c r="N149" s="12">
        <f t="shared" ca="1" si="29"/>
        <v>46090.85657546296</v>
      </c>
      <c r="O149">
        <v>1</v>
      </c>
      <c r="P149" t="s">
        <v>179</v>
      </c>
      <c r="Q149" t="s">
        <v>231</v>
      </c>
    </row>
    <row r="150" spans="1:17" hidden="1">
      <c r="A150" t="s">
        <v>156</v>
      </c>
      <c r="B150" t="s">
        <v>306</v>
      </c>
      <c r="C150" t="s">
        <v>287</v>
      </c>
      <c r="D150" t="s">
        <v>294</v>
      </c>
      <c r="E150" t="str">
        <f t="shared" si="24"/>
        <v>BobJohnson</v>
      </c>
      <c r="F150" t="s">
        <v>168</v>
      </c>
      <c r="G150" t="s">
        <v>176</v>
      </c>
      <c r="H150" s="7">
        <v>65270</v>
      </c>
      <c r="I150" s="10">
        <v>43037</v>
      </c>
      <c r="J150">
        <f t="shared" ca="1" si="25"/>
        <v>8</v>
      </c>
      <c r="K150">
        <f t="shared" si="26"/>
        <v>2017</v>
      </c>
      <c r="L150">
        <f t="shared" si="27"/>
        <v>10</v>
      </c>
      <c r="M150">
        <f t="shared" si="28"/>
        <v>1</v>
      </c>
      <c r="N150" s="12">
        <f t="shared" ca="1" si="29"/>
        <v>46090.85657546296</v>
      </c>
      <c r="O150">
        <v>1</v>
      </c>
      <c r="P150" t="s">
        <v>178</v>
      </c>
      <c r="Q150" t="s">
        <v>279</v>
      </c>
    </row>
    <row r="151" spans="1:17" hidden="1">
      <c r="A151" t="s">
        <v>157</v>
      </c>
      <c r="B151" t="s">
        <v>306</v>
      </c>
      <c r="C151" t="s">
        <v>287</v>
      </c>
      <c r="D151" t="s">
        <v>294</v>
      </c>
      <c r="E151" t="str">
        <f t="shared" si="24"/>
        <v>BobJohnson</v>
      </c>
      <c r="F151" t="s">
        <v>178</v>
      </c>
      <c r="G151" t="s">
        <v>175</v>
      </c>
      <c r="H151" s="7">
        <v>67335</v>
      </c>
      <c r="I151" s="10">
        <v>43044</v>
      </c>
      <c r="J151">
        <f t="shared" ca="1" si="25"/>
        <v>8</v>
      </c>
      <c r="K151">
        <f t="shared" si="26"/>
        <v>2017</v>
      </c>
      <c r="L151">
        <f t="shared" si="27"/>
        <v>11</v>
      </c>
      <c r="M151">
        <f t="shared" si="28"/>
        <v>1</v>
      </c>
      <c r="N151" s="12">
        <f t="shared" ca="1" si="29"/>
        <v>46090.85657546296</v>
      </c>
      <c r="O151">
        <v>1</v>
      </c>
      <c r="P151" t="s">
        <v>179</v>
      </c>
      <c r="Q151" t="s">
        <v>233</v>
      </c>
    </row>
  </sheetData>
  <conditionalFormatting sqref="A1:Q151">
    <cfRule type="duplicateValues" dxfId="26" priority="3"/>
    <cfRule type="containsText" dxfId="25" priority="4" operator="containsText" text="Unknown">
      <formula>NOT(ISERROR(SEARCH("Unknown",A1)))</formula>
    </cfRule>
    <cfRule type="containsText" dxfId="24" priority="6" operator="containsText" text=" ">
      <formula>NOT(ISERROR(SEARCH(" ",A1)))</formula>
    </cfRule>
  </conditionalFormatting>
  <conditionalFormatting sqref="H2:H151">
    <cfRule type="top10" dxfId="23" priority="1" percent="1" bottom="1" rank="10"/>
    <cfRule type="top10" dxfId="22" priority="2" percent="1" rank="10"/>
  </conditionalFormatting>
  <conditionalFormatting sqref="I1:N1048576">
    <cfRule type="containsBlanks" dxfId="21" priority="7">
      <formula>LEN(TRIM(I1))=0</formula>
    </cfRule>
  </conditionalFormatting>
  <conditionalFormatting sqref="I2:N151">
    <cfRule type="containsText" dxfId="20" priority="5" operator="containsText" text=" ">
      <formula>NOT(ISERROR(SEARCH(" ",I2)))</formula>
    </cfRule>
    <cfRule type="containsBlanks" dxfId="19" priority="8">
      <formula>LEN(TRIM(I2))=0</formula>
    </cfRule>
    <cfRule type="containsBlanks" dxfId="18" priority="9">
      <formula>LEN(TRIM(I2))=0</formula>
    </cfRule>
  </conditionalFormatting>
  <conditionalFormatting sqref="Q2:Q151">
    <cfRule type="containsBlanks" dxfId="17" priority="16">
      <formula>LEN(TRIM(Q2))=0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A538-D5E7-41BD-9EB0-7AA9DE9B4A09}">
  <dimension ref="A1:Q26"/>
  <sheetViews>
    <sheetView topLeftCell="A7" workbookViewId="0">
      <selection activeCell="A2" sqref="A2:A26"/>
    </sheetView>
  </sheetViews>
  <sheetFormatPr defaultRowHeight="14.5"/>
  <cols>
    <col min="1" max="1" width="10.81640625" bestFit="1" customWidth="1"/>
    <col min="5" max="5" width="12.453125" bestFit="1" customWidth="1"/>
    <col min="8" max="8" width="11.26953125" bestFit="1" customWidth="1"/>
    <col min="9" max="9" width="10.08984375" bestFit="1" customWidth="1"/>
    <col min="11" max="11" width="10.7265625" bestFit="1" customWidth="1"/>
    <col min="12" max="12" width="12.6328125" bestFit="1" customWidth="1"/>
    <col min="13" max="13" width="14.54296875" bestFit="1" customWidth="1"/>
    <col min="14" max="14" width="17.54296875" bestFit="1" customWidth="1"/>
  </cols>
  <sheetData>
    <row r="1" spans="1:17" ht="15" thickBot="1">
      <c r="A1" s="20" t="s">
        <v>295</v>
      </c>
      <c r="B1" s="20" t="s">
        <v>1</v>
      </c>
      <c r="C1" s="20" t="s">
        <v>296</v>
      </c>
      <c r="D1" s="16" t="s">
        <v>297</v>
      </c>
      <c r="E1" s="19" t="s">
        <v>298</v>
      </c>
      <c r="F1" s="20" t="s">
        <v>2</v>
      </c>
      <c r="G1" s="20" t="s">
        <v>3</v>
      </c>
      <c r="H1" s="21" t="s">
        <v>4</v>
      </c>
      <c r="I1" s="22" t="s">
        <v>307</v>
      </c>
      <c r="J1" s="20" t="s">
        <v>308</v>
      </c>
      <c r="K1" s="20" t="s">
        <v>309</v>
      </c>
      <c r="L1" s="20" t="s">
        <v>310</v>
      </c>
      <c r="M1" s="20" t="s">
        <v>312</v>
      </c>
      <c r="N1" s="20" t="s">
        <v>311</v>
      </c>
      <c r="O1" s="20" t="s">
        <v>299</v>
      </c>
      <c r="P1" s="20" t="s">
        <v>7</v>
      </c>
      <c r="Q1" s="20" t="s">
        <v>8</v>
      </c>
    </row>
    <row r="2" spans="1:17" ht="15" thickTop="1">
      <c r="A2" s="17" t="s">
        <v>20</v>
      </c>
      <c r="B2" t="str">
        <f>VLOOKUP($A2,Employee_Cleaned!$A$2:$Q$151,2,FALSE)</f>
        <v>SamWilson</v>
      </c>
      <c r="C2" t="str">
        <f>VLOOKUP($A2,Employee_Cleaned!$A$2:$Q$151,3,FALSE)</f>
        <v>Sam</v>
      </c>
      <c r="D2" t="str">
        <f>VLOOKUP($A2,Employee_Cleaned!$A$2:$Q$151,4,FALSE)</f>
        <v>Wilson</v>
      </c>
      <c r="E2" t="str">
        <f>VLOOKUP($A2,Employee_Cleaned!$A$2:$Q$151,5,FALSE)</f>
        <v>SamWilson</v>
      </c>
      <c r="F2" t="str">
        <f>VLOOKUP($A2,Employee_Cleaned!$A$2:$Q$151,6,FALSE)</f>
        <v>IT</v>
      </c>
      <c r="G2" t="str">
        <f>VLOOKUP($A2,Employee_Cleaned!$A$2:$Q$151,7,FALSE)</f>
        <v>USA</v>
      </c>
      <c r="H2" s="23">
        <f>VLOOKUP($A2,Employee_Cleaned!$A$2:$Q$151,8,FALSE)</f>
        <v>91180</v>
      </c>
      <c r="I2" s="9">
        <f>VLOOKUP($A2,Employee_Cleaned!$A$2:$Q$151,9,FALSE)</f>
        <v>42085</v>
      </c>
      <c r="J2">
        <f ca="1">VLOOKUP($A2,Employee_Cleaned!$A$2:$Q$151,10,FALSE)</f>
        <v>10</v>
      </c>
      <c r="K2">
        <f>VLOOKUP($A2,Employee_Cleaned!$A$2:$Q$151,11,FALSE)</f>
        <v>2015</v>
      </c>
      <c r="L2">
        <f>VLOOKUP($A2,Employee_Cleaned!$A$2:$Q$151,12,FALSE)</f>
        <v>3</v>
      </c>
      <c r="M2">
        <f>VLOOKUP($A2,Employee_Cleaned!$A$2:$Q$151,13,FALSE)</f>
        <v>1</v>
      </c>
      <c r="N2" s="10">
        <f ca="1">VLOOKUP($A2,Employee_Cleaned!$A$2:$Q$151,14,FALSE)</f>
        <v>46090.85657546296</v>
      </c>
      <c r="O2">
        <f>VLOOKUP($A2,Employee_Cleaned!$A$2:$Q$151,15,FALSE)</f>
        <v>5</v>
      </c>
      <c r="P2" t="str">
        <f>VLOOKUP($A2,Employee_Cleaned!$A$2:$Q$151,16,FALSE)</f>
        <v>Male</v>
      </c>
      <c r="Q2" t="str">
        <f>VLOOKUP($A2,Employee_Cleaned!$A$2:$Q$151,17,FALSE)</f>
        <v>user1@example.com</v>
      </c>
    </row>
    <row r="3" spans="1:17">
      <c r="A3" s="18" t="s">
        <v>21</v>
      </c>
      <c r="B3" t="str">
        <f>VLOOKUP($A3,Employee_Cleaned!$A$2:$Q$151,2,FALSE)</f>
        <v>BobJohnson</v>
      </c>
      <c r="C3" t="str">
        <f>VLOOKUP($A3,Employee_Cleaned!$A$2:$Q$151,3,FALSE)</f>
        <v>Bob</v>
      </c>
      <c r="D3" t="str">
        <f>VLOOKUP($A3,Employee_Cleaned!$A$2:$Q$151,4,FALSE)</f>
        <v>Johnson</v>
      </c>
      <c r="E3" t="str">
        <f>VLOOKUP($A3,Employee_Cleaned!$A$2:$Q$151,5,FALSE)</f>
        <v>BobJohnson</v>
      </c>
      <c r="F3" t="str">
        <f>VLOOKUP($A3,Employee_Cleaned!$A$2:$Q$151,6,FALSE)</f>
        <v>Sales</v>
      </c>
      <c r="G3" t="str">
        <f>VLOOKUP($A3,Employee_Cleaned!$A$2:$Q$151,7,FALSE)</f>
        <v>Unknown</v>
      </c>
      <c r="H3" s="23">
        <f>VLOOKUP($A3,Employee_Cleaned!$A$2:$Q$151,8,FALSE)</f>
        <v>96418</v>
      </c>
      <c r="I3" s="9">
        <f>VLOOKUP($A3,Employee_Cleaned!$A$2:$Q$151,9,FALSE)</f>
        <v>42092</v>
      </c>
      <c r="J3">
        <f ca="1">VLOOKUP($A3,Employee_Cleaned!$A$2:$Q$151,10,FALSE)</f>
        <v>10</v>
      </c>
      <c r="K3">
        <f>VLOOKUP($A3,Employee_Cleaned!$A$2:$Q$151,11,FALSE)</f>
        <v>2015</v>
      </c>
      <c r="L3">
        <f>VLOOKUP($A3,Employee_Cleaned!$A$2:$Q$151,12,FALSE)</f>
        <v>3</v>
      </c>
      <c r="M3">
        <f>VLOOKUP($A3,Employee_Cleaned!$A$2:$Q$151,13,FALSE)</f>
        <v>1</v>
      </c>
      <c r="N3" s="10">
        <f ca="1">VLOOKUP($A3,Employee_Cleaned!$A$2:$Q$151,14,FALSE)</f>
        <v>46090.85657546296</v>
      </c>
      <c r="O3">
        <f ca="1">VLOOKUP($A3,Employee_Cleaned!$A$2:$Q$151,10,FALSE)</f>
        <v>10</v>
      </c>
      <c r="P3" t="str">
        <f>VLOOKUP($A3,Employee_Cleaned!$A$2:$Q$151,16,FALSE)</f>
        <v>Male</v>
      </c>
      <c r="Q3" t="str">
        <f>VLOOKUP($A3,Employee_Cleaned!$A$2:$Q$151,17,FALSE)</f>
        <v>user106@example.com</v>
      </c>
    </row>
    <row r="4" spans="1:17">
      <c r="A4" s="17" t="s">
        <v>28</v>
      </c>
      <c r="B4" t="str">
        <f>VLOOKUP($A4,Employee_Cleaned!$A$2:$Q$151,2,FALSE)</f>
        <v>EveAdams</v>
      </c>
      <c r="C4" t="str">
        <f>VLOOKUP($A4,Employee_Cleaned!$A$2:$Q$151,3,FALSE)</f>
        <v>Eve</v>
      </c>
      <c r="D4" t="str">
        <f>VLOOKUP($A4,Employee_Cleaned!$A$2:$Q$151,4,FALSE)</f>
        <v>Adams</v>
      </c>
      <c r="E4" t="str">
        <f>VLOOKUP($A4,Employee_Cleaned!$A$2:$Q$151,5,FALSE)</f>
        <v>EveAdams</v>
      </c>
      <c r="F4" t="str">
        <f>VLOOKUP($A4,Employee_Cleaned!$A$2:$Q$151,6,FALSE)</f>
        <v>Unknown</v>
      </c>
      <c r="G4" t="str">
        <f>VLOOKUP($A4,Employee_Cleaned!$A$2:$Q$151,7,FALSE)</f>
        <v>India</v>
      </c>
      <c r="H4" s="23">
        <f>VLOOKUP($A4,Employee_Cleaned!$A$2:$Q$151,8,FALSE)</f>
        <v>67531</v>
      </c>
      <c r="I4" s="9">
        <f>VLOOKUP($A4,Employee_Cleaned!$A$2:$Q$151,9,FALSE)</f>
        <v>42141</v>
      </c>
      <c r="J4">
        <f ca="1">VLOOKUP($A4,Employee_Cleaned!$A$2:$Q$151,10,FALSE)</f>
        <v>10</v>
      </c>
      <c r="K4">
        <f>VLOOKUP($A4,Employee_Cleaned!$A$2:$Q$151,11,FALSE)</f>
        <v>2015</v>
      </c>
      <c r="L4">
        <f>VLOOKUP($A4,Employee_Cleaned!$A$2:$Q$151,12,FALSE)</f>
        <v>5</v>
      </c>
      <c r="M4">
        <f>VLOOKUP($A4,Employee_Cleaned!$A$2:$Q$151,13,FALSE)</f>
        <v>1</v>
      </c>
      <c r="N4" s="10">
        <f ca="1">VLOOKUP($A4,Employee_Cleaned!$A$2:$Q$151,14,FALSE)</f>
        <v>46090.85657546296</v>
      </c>
      <c r="O4">
        <f ca="1">VLOOKUP($A4,Employee_Cleaned!$A$2:$Q$151,10,FALSE)</f>
        <v>10</v>
      </c>
      <c r="P4" t="str">
        <f>VLOOKUP($A4,Employee_Cleaned!$A$2:$Q$151,16,FALSE)</f>
        <v>Female</v>
      </c>
      <c r="Q4" t="str">
        <f>VLOOKUP($A4,Employee_Cleaned!$A$2:$Q$151,17,FALSE)</f>
        <v>user151@example.com</v>
      </c>
    </row>
    <row r="5" spans="1:17">
      <c r="A5" s="18" t="s">
        <v>31</v>
      </c>
      <c r="B5" t="str">
        <f>VLOOKUP($A5,Employee_Cleaned!$A$2:$Q$151,2,FALSE)</f>
        <v>EveAdams</v>
      </c>
      <c r="C5" t="str">
        <f>VLOOKUP($A5,Employee_Cleaned!$A$2:$Q$151,3,FALSE)</f>
        <v>Eve</v>
      </c>
      <c r="D5" t="str">
        <f>VLOOKUP($A5,Employee_Cleaned!$A$2:$Q$151,4,FALSE)</f>
        <v>Adams</v>
      </c>
      <c r="E5" t="str">
        <f>VLOOKUP($A5,Employee_Cleaned!$A$2:$Q$151,5,FALSE)</f>
        <v>EveAdams</v>
      </c>
      <c r="F5" t="str">
        <f>VLOOKUP($A5,Employee_Cleaned!$A$2:$Q$151,6,FALSE)</f>
        <v>Finance</v>
      </c>
      <c r="G5" t="str">
        <f>VLOOKUP($A5,Employee_Cleaned!$A$2:$Q$151,7,FALSE)</f>
        <v>India</v>
      </c>
      <c r="H5" s="23">
        <f>VLOOKUP($A5,Employee_Cleaned!$A$2:$Q$151,8,FALSE)</f>
        <v>38333</v>
      </c>
      <c r="I5" s="9">
        <f>VLOOKUP($A5,Employee_Cleaned!$A$2:$Q$151,9,FALSE)</f>
        <v>42162</v>
      </c>
      <c r="J5">
        <f ca="1">VLOOKUP($A5,Employee_Cleaned!$A$2:$Q$151,10,FALSE)</f>
        <v>10</v>
      </c>
      <c r="K5">
        <f>VLOOKUP($A5,Employee_Cleaned!$A$2:$Q$151,11,FALSE)</f>
        <v>2015</v>
      </c>
      <c r="L5">
        <f>VLOOKUP($A5,Employee_Cleaned!$A$2:$Q$151,12,FALSE)</f>
        <v>6</v>
      </c>
      <c r="M5">
        <f>VLOOKUP($A5,Employee_Cleaned!$A$2:$Q$151,13,FALSE)</f>
        <v>1</v>
      </c>
      <c r="N5" s="10">
        <f ca="1">VLOOKUP($A5,Employee_Cleaned!$A$2:$Q$151,14,FALSE)</f>
        <v>46090.85657546296</v>
      </c>
      <c r="O5">
        <f ca="1">VLOOKUP($A5,Employee_Cleaned!$A$2:$Q$151,10,FALSE)</f>
        <v>10</v>
      </c>
      <c r="P5" t="str">
        <f>VLOOKUP($A5,Employee_Cleaned!$A$2:$Q$151,16,FALSE)</f>
        <v>Unknown</v>
      </c>
      <c r="Q5" t="str">
        <f>VLOOKUP($A5,Employee_Cleaned!$A$2:$Q$151,17,FALSE)</f>
        <v>user128@example.com</v>
      </c>
    </row>
    <row r="6" spans="1:17">
      <c r="A6" s="17" t="s">
        <v>38</v>
      </c>
      <c r="B6" t="str">
        <f>VLOOKUP($A6,Employee_Cleaned!$A$2:$Q$151,2,FALSE)</f>
        <v>BobJohnson</v>
      </c>
      <c r="C6" t="str">
        <f>VLOOKUP($A6,Employee_Cleaned!$A$2:$Q$151,3,FALSE)</f>
        <v>Bob</v>
      </c>
      <c r="D6" t="str">
        <f>VLOOKUP($A6,Employee_Cleaned!$A$2:$Q$151,4,FALSE)</f>
        <v>Johnson</v>
      </c>
      <c r="E6" t="str">
        <f>VLOOKUP($A6,Employee_Cleaned!$A$2:$Q$151,5,FALSE)</f>
        <v>BobJohnson</v>
      </c>
      <c r="F6" t="str">
        <f>VLOOKUP($A6,Employee_Cleaned!$A$2:$Q$151,6,FALSE)</f>
        <v>Marketing</v>
      </c>
      <c r="G6" t="str">
        <f>VLOOKUP($A6,Employee_Cleaned!$A$2:$Q$151,7,FALSE)</f>
        <v>UK</v>
      </c>
      <c r="H6" s="23">
        <f>VLOOKUP($A6,Employee_Cleaned!$A$2:$Q$151,8,FALSE)</f>
        <v>92959</v>
      </c>
      <c r="I6" s="9">
        <f>VLOOKUP($A6,Employee_Cleaned!$A$2:$Q$151,9,FALSE)</f>
        <v>42211</v>
      </c>
      <c r="J6">
        <f ca="1">VLOOKUP($A6,Employee_Cleaned!$A$2:$Q$151,10,FALSE)</f>
        <v>10</v>
      </c>
      <c r="K6">
        <f>VLOOKUP($A6,Employee_Cleaned!$A$2:$Q$151,11,FALSE)</f>
        <v>2015</v>
      </c>
      <c r="L6">
        <f>VLOOKUP($A6,Employee_Cleaned!$A$2:$Q$151,12,FALSE)</f>
        <v>7</v>
      </c>
      <c r="M6">
        <f>VLOOKUP($A6,Employee_Cleaned!$A$2:$Q$151,13,FALSE)</f>
        <v>1</v>
      </c>
      <c r="N6" s="10">
        <f ca="1">VLOOKUP($A6,Employee_Cleaned!$A$2:$Q$151,14,FALSE)</f>
        <v>46090.85657546296</v>
      </c>
      <c r="O6">
        <f ca="1">VLOOKUP($A6,Employee_Cleaned!$A$2:$Q$151,10,FALSE)</f>
        <v>10</v>
      </c>
      <c r="P6" t="str">
        <f>VLOOKUP($A6,Employee_Cleaned!$A$2:$Q$151,16,FALSE)</f>
        <v>Unknown</v>
      </c>
      <c r="Q6" t="str">
        <f>VLOOKUP($A6,Employee_Cleaned!$A$2:$Q$151,17,FALSE)</f>
        <v>user83@example.com</v>
      </c>
    </row>
    <row r="7" spans="1:17">
      <c r="A7" s="18" t="s">
        <v>47</v>
      </c>
      <c r="B7" t="str">
        <f>VLOOKUP($A7,Employee_Cleaned!$A$2:$Q$151,2,FALSE)</f>
        <v>JohnDoe</v>
      </c>
      <c r="C7" t="str">
        <f>VLOOKUP($A7,Employee_Cleaned!$A$2:$Q$151,3,FALSE)</f>
        <v>John</v>
      </c>
      <c r="D7" t="str">
        <f>VLOOKUP($A7,Employee_Cleaned!$A$2:$Q$151,4,FALSE)</f>
        <v>Doe</v>
      </c>
      <c r="E7" t="str">
        <f>VLOOKUP($A7,Employee_Cleaned!$A$2:$Q$151,5,FALSE)</f>
        <v>JohnDoe</v>
      </c>
      <c r="F7" t="str">
        <f>VLOOKUP($A7,Employee_Cleaned!$A$2:$Q$151,6,FALSE)</f>
        <v>Marketing</v>
      </c>
      <c r="G7" t="str">
        <f>VLOOKUP($A7,Employee_Cleaned!$A$2:$Q$151,7,FALSE)</f>
        <v>UK</v>
      </c>
      <c r="H7" s="23">
        <f>VLOOKUP($A7,Employee_Cleaned!$A$2:$Q$151,8,FALSE)</f>
        <v>52093</v>
      </c>
      <c r="I7" s="9">
        <f>VLOOKUP($A7,Employee_Cleaned!$A$2:$Q$151,9,FALSE)</f>
        <v>42274</v>
      </c>
      <c r="J7">
        <f ca="1">VLOOKUP($A7,Employee_Cleaned!$A$2:$Q$151,10,FALSE)</f>
        <v>10</v>
      </c>
      <c r="K7">
        <f>VLOOKUP($A7,Employee_Cleaned!$A$2:$Q$151,11,FALSE)</f>
        <v>2015</v>
      </c>
      <c r="L7">
        <f>VLOOKUP($A7,Employee_Cleaned!$A$2:$Q$151,12,FALSE)</f>
        <v>9</v>
      </c>
      <c r="M7">
        <f>VLOOKUP($A7,Employee_Cleaned!$A$2:$Q$151,13,FALSE)</f>
        <v>1</v>
      </c>
      <c r="N7" s="10">
        <f ca="1">VLOOKUP($A7,Employee_Cleaned!$A$2:$Q$151,14,FALSE)</f>
        <v>46090.85657546296</v>
      </c>
      <c r="O7">
        <f ca="1">VLOOKUP($A7,Employee_Cleaned!$A$2:$Q$151,10,FALSE)</f>
        <v>10</v>
      </c>
      <c r="P7" t="str">
        <f>VLOOKUP($A7,Employee_Cleaned!$A$2:$Q$151,16,FALSE)</f>
        <v>Unknown</v>
      </c>
      <c r="Q7" t="str">
        <f>VLOOKUP($A7,Employee_Cleaned!$A$2:$Q$151,17,FALSE)</f>
        <v>user154@example.com</v>
      </c>
    </row>
    <row r="8" spans="1:17">
      <c r="A8" s="17" t="s">
        <v>58</v>
      </c>
      <c r="B8" t="str">
        <f>VLOOKUP($A8,Employee_Cleaned!$A$2:$Q$151,2,FALSE)</f>
        <v>EveAdams</v>
      </c>
      <c r="C8" t="str">
        <f>VLOOKUP($A8,Employee_Cleaned!$A$2:$Q$151,3,FALSE)</f>
        <v>Eve</v>
      </c>
      <c r="D8" t="str">
        <f>VLOOKUP($A8,Employee_Cleaned!$A$2:$Q$151,4,FALSE)</f>
        <v>Adams</v>
      </c>
      <c r="E8" t="str">
        <f>VLOOKUP($A8,Employee_Cleaned!$A$2:$Q$151,5,FALSE)</f>
        <v>EveAdams</v>
      </c>
      <c r="F8" t="str">
        <f>VLOOKUP($A8,Employee_Cleaned!$A$2:$Q$151,6,FALSE)</f>
        <v>HR</v>
      </c>
      <c r="G8" t="str">
        <f>VLOOKUP($A8,Employee_Cleaned!$A$2:$Q$151,7,FALSE)</f>
        <v>Germany</v>
      </c>
      <c r="H8" s="23">
        <f>VLOOKUP($A8,Employee_Cleaned!$A$2:$Q$151,8,FALSE)</f>
        <v>78720</v>
      </c>
      <c r="I8" s="9">
        <f>VLOOKUP($A8,Employee_Cleaned!$A$2:$Q$151,9,FALSE)</f>
        <v>42351</v>
      </c>
      <c r="J8">
        <f ca="1">VLOOKUP($A8,Employee_Cleaned!$A$2:$Q$151,10,FALSE)</f>
        <v>10</v>
      </c>
      <c r="K8">
        <f>VLOOKUP($A8,Employee_Cleaned!$A$2:$Q$151,11,FALSE)</f>
        <v>2015</v>
      </c>
      <c r="L8">
        <f>VLOOKUP($A8,Employee_Cleaned!$A$2:$Q$151,12,FALSE)</f>
        <v>12</v>
      </c>
      <c r="M8">
        <f>VLOOKUP($A8,Employee_Cleaned!$A$2:$Q$151,13,FALSE)</f>
        <v>1</v>
      </c>
      <c r="N8" s="10">
        <f ca="1">VLOOKUP($A8,Employee_Cleaned!$A$2:$Q$151,14,FALSE)</f>
        <v>46090.85657546296</v>
      </c>
      <c r="O8">
        <f ca="1">VLOOKUP($A8,Employee_Cleaned!$A$2:$Q$151,10,FALSE)</f>
        <v>10</v>
      </c>
      <c r="P8" t="str">
        <f>VLOOKUP($A8,Employee_Cleaned!$A$2:$Q$151,16,FALSE)</f>
        <v>Female</v>
      </c>
      <c r="Q8" t="str">
        <f>VLOOKUP($A8,Employee_Cleaned!$A$2:$Q$151,17,FALSE)</f>
        <v>user89@example.com</v>
      </c>
    </row>
    <row r="9" spans="1:17">
      <c r="A9" s="18" t="s">
        <v>60</v>
      </c>
      <c r="B9" t="str">
        <f>VLOOKUP($A9,Employee_Cleaned!$A$2:$Q$151,2,FALSE)</f>
        <v>SamWilson</v>
      </c>
      <c r="C9" t="str">
        <f>VLOOKUP($A9,Employee_Cleaned!$A$2:$Q$151,3,FALSE)</f>
        <v>Sam</v>
      </c>
      <c r="D9" t="str">
        <f>VLOOKUP($A9,Employee_Cleaned!$A$2:$Q$151,4,FALSE)</f>
        <v>Wilson</v>
      </c>
      <c r="E9" t="str">
        <f>VLOOKUP($A9,Employee_Cleaned!$A$2:$Q$151,5,FALSE)</f>
        <v>SamWilson</v>
      </c>
      <c r="F9" t="str">
        <f>VLOOKUP($A9,Employee_Cleaned!$A$2:$Q$151,6,FALSE)</f>
        <v>Sales</v>
      </c>
      <c r="G9" t="str">
        <f>VLOOKUP($A9,Employee_Cleaned!$A$2:$Q$151,7,FALSE)</f>
        <v>India</v>
      </c>
      <c r="H9" s="23">
        <f>VLOOKUP($A9,Employee_Cleaned!$A$2:$Q$151,8,FALSE)</f>
        <v>39423</v>
      </c>
      <c r="I9" s="9">
        <f>VLOOKUP($A9,Employee_Cleaned!$A$2:$Q$151,9,FALSE)</f>
        <v>42365</v>
      </c>
      <c r="J9">
        <f ca="1">VLOOKUP($A9,Employee_Cleaned!$A$2:$Q$151,10,FALSE)</f>
        <v>10</v>
      </c>
      <c r="K9">
        <f>VLOOKUP($A9,Employee_Cleaned!$A$2:$Q$151,11,FALSE)</f>
        <v>2015</v>
      </c>
      <c r="L9">
        <f>VLOOKUP($A9,Employee_Cleaned!$A$2:$Q$151,12,FALSE)</f>
        <v>12</v>
      </c>
      <c r="M9">
        <f>VLOOKUP($A9,Employee_Cleaned!$A$2:$Q$151,13,FALSE)</f>
        <v>1</v>
      </c>
      <c r="N9" s="10">
        <f ca="1">VLOOKUP($A9,Employee_Cleaned!$A$2:$Q$151,14,FALSE)</f>
        <v>46090.85657546296</v>
      </c>
      <c r="O9">
        <f ca="1">VLOOKUP($A9,Employee_Cleaned!$A$2:$Q$151,10,FALSE)</f>
        <v>10</v>
      </c>
      <c r="P9" t="str">
        <f>VLOOKUP($A9,Employee_Cleaned!$A$2:$Q$151,16,FALSE)</f>
        <v>Unknown</v>
      </c>
      <c r="Q9" t="str">
        <f>VLOOKUP($A9,Employee_Cleaned!$A$2:$Q$151,17,FALSE)</f>
        <v>user59@example.com</v>
      </c>
    </row>
    <row r="10" spans="1:17">
      <c r="A10" s="17" t="s">
        <v>63</v>
      </c>
      <c r="B10" t="str">
        <f>VLOOKUP($A10,Employee_Cleaned!$A$2:$Q$151,2,FALSE)</f>
        <v>BobJohnson</v>
      </c>
      <c r="C10" t="str">
        <f>VLOOKUP($A10,Employee_Cleaned!$A$2:$Q$151,3,FALSE)</f>
        <v>Bob</v>
      </c>
      <c r="D10" t="str">
        <f>VLOOKUP($A10,Employee_Cleaned!$A$2:$Q$151,4,FALSE)</f>
        <v>Johnson</v>
      </c>
      <c r="E10" t="str">
        <f>VLOOKUP($A10,Employee_Cleaned!$A$2:$Q$151,5,FALSE)</f>
        <v>BobJohnson</v>
      </c>
      <c r="F10" t="str">
        <f>VLOOKUP($A10,Employee_Cleaned!$A$2:$Q$151,6,FALSE)</f>
        <v>Marketing</v>
      </c>
      <c r="G10" t="str">
        <f>VLOOKUP($A10,Employee_Cleaned!$A$2:$Q$151,7,FALSE)</f>
        <v>UK</v>
      </c>
      <c r="H10" s="23">
        <f>VLOOKUP($A10,Employee_Cleaned!$A$2:$Q$151,8,FALSE)</f>
        <v>75633</v>
      </c>
      <c r="I10" s="9">
        <f>VLOOKUP($A10,Employee_Cleaned!$A$2:$Q$151,9,FALSE)</f>
        <v>42386</v>
      </c>
      <c r="J10">
        <f ca="1">VLOOKUP($A10,Employee_Cleaned!$A$2:$Q$151,10,FALSE)</f>
        <v>10</v>
      </c>
      <c r="K10">
        <f>VLOOKUP($A10,Employee_Cleaned!$A$2:$Q$151,11,FALSE)</f>
        <v>2016</v>
      </c>
      <c r="L10">
        <f>VLOOKUP($A10,Employee_Cleaned!$A$2:$Q$151,12,FALSE)</f>
        <v>1</v>
      </c>
      <c r="M10">
        <f>VLOOKUP($A10,Employee_Cleaned!$A$2:$Q$151,13,FALSE)</f>
        <v>1</v>
      </c>
      <c r="N10" s="10">
        <f ca="1">VLOOKUP($A10,Employee_Cleaned!$A$2:$Q$151,14,FALSE)</f>
        <v>46090.85657546296</v>
      </c>
      <c r="O10">
        <f ca="1">VLOOKUP($A10,Employee_Cleaned!$A$2:$Q$151,10,FALSE)</f>
        <v>10</v>
      </c>
      <c r="P10" t="str">
        <f>VLOOKUP($A10,Employee_Cleaned!$A$2:$Q$151,16,FALSE)</f>
        <v>Other</v>
      </c>
      <c r="Q10" t="str">
        <f>VLOOKUP($A10,Employee_Cleaned!$A$2:$Q$151,17,FALSE)</f>
        <v>user92@example.com</v>
      </c>
    </row>
    <row r="11" spans="1:17">
      <c r="A11" s="18" t="s">
        <v>64</v>
      </c>
      <c r="B11" t="str">
        <f>VLOOKUP($A11,Employee_Cleaned!$A$2:$Q$151,2,FALSE)</f>
        <v>ChrisLee</v>
      </c>
      <c r="C11" t="str">
        <f>VLOOKUP($A11,Employee_Cleaned!$A$2:$Q$151,3,FALSE)</f>
        <v>Chris</v>
      </c>
      <c r="D11" t="str">
        <f>VLOOKUP($A11,Employee_Cleaned!$A$2:$Q$151,4,FALSE)</f>
        <v>Lee</v>
      </c>
      <c r="E11" t="str">
        <f>VLOOKUP($A11,Employee_Cleaned!$A$2:$Q$151,5,FALSE)</f>
        <v>ChrisLee</v>
      </c>
      <c r="F11" t="str">
        <f>VLOOKUP($A11,Employee_Cleaned!$A$2:$Q$151,6,FALSE)</f>
        <v>Unknown</v>
      </c>
      <c r="G11" t="str">
        <f>VLOOKUP($A11,Employee_Cleaned!$A$2:$Q$151,7,FALSE)</f>
        <v>USA</v>
      </c>
      <c r="H11" s="23">
        <f>VLOOKUP($A11,Employee_Cleaned!$A$2:$Q$151,8,FALSE)</f>
        <v>74815</v>
      </c>
      <c r="I11" s="9">
        <f>VLOOKUP($A11,Employee_Cleaned!$A$2:$Q$151,9,FALSE)</f>
        <v>42393</v>
      </c>
      <c r="J11">
        <f ca="1">VLOOKUP($A11,Employee_Cleaned!$A$2:$Q$151,10,FALSE)</f>
        <v>10</v>
      </c>
      <c r="K11">
        <f>VLOOKUP($A11,Employee_Cleaned!$A$2:$Q$151,11,FALSE)</f>
        <v>2016</v>
      </c>
      <c r="L11">
        <f>VLOOKUP($A11,Employee_Cleaned!$A$2:$Q$151,12,FALSE)</f>
        <v>1</v>
      </c>
      <c r="M11">
        <f>VLOOKUP($A11,Employee_Cleaned!$A$2:$Q$151,13,FALSE)</f>
        <v>1</v>
      </c>
      <c r="N11" s="10">
        <f ca="1">VLOOKUP($A11,Employee_Cleaned!$A$2:$Q$151,14,FALSE)</f>
        <v>46090.85657546296</v>
      </c>
      <c r="O11">
        <f ca="1">VLOOKUP($A11,Employee_Cleaned!$A$2:$Q$151,10,FALSE)</f>
        <v>10</v>
      </c>
      <c r="P11" t="str">
        <f>VLOOKUP($A11,Employee_Cleaned!$A$2:$Q$151,16,FALSE)</f>
        <v>Female</v>
      </c>
      <c r="Q11" t="str">
        <f>VLOOKUP($A11,Employee_Cleaned!$A$2:$Q$151,17,FALSE)</f>
        <v>user50@example.com</v>
      </c>
    </row>
    <row r="12" spans="1:17">
      <c r="A12" s="17" t="s">
        <v>67</v>
      </c>
      <c r="B12" t="str">
        <f>VLOOKUP($A12,Employee_Cleaned!$A$2:$Q$151,2,FALSE)</f>
        <v>SamWilson</v>
      </c>
      <c r="C12" t="str">
        <f>VLOOKUP($A12,Employee_Cleaned!$A$2:$Q$151,3,FALSE)</f>
        <v>Sam</v>
      </c>
      <c r="D12" t="str">
        <f>VLOOKUP($A12,Employee_Cleaned!$A$2:$Q$151,4,FALSE)</f>
        <v>Wilson</v>
      </c>
      <c r="E12" t="str">
        <f>VLOOKUP($A12,Employee_Cleaned!$A$2:$Q$151,5,FALSE)</f>
        <v>SamWilson</v>
      </c>
      <c r="F12" t="str">
        <f>VLOOKUP($A12,Employee_Cleaned!$A$2:$Q$151,6,FALSE)</f>
        <v>Marketing</v>
      </c>
      <c r="G12" t="str">
        <f>VLOOKUP($A12,Employee_Cleaned!$A$2:$Q$151,7,FALSE)</f>
        <v>Unknown</v>
      </c>
      <c r="H12" s="23">
        <f>VLOOKUP($A12,Employee_Cleaned!$A$2:$Q$151,8,FALSE)</f>
        <v>84924</v>
      </c>
      <c r="I12" s="9">
        <f>VLOOKUP($A12,Employee_Cleaned!$A$2:$Q$151,9,FALSE)</f>
        <v>42414</v>
      </c>
      <c r="J12">
        <f ca="1">VLOOKUP($A12,Employee_Cleaned!$A$2:$Q$151,10,FALSE)</f>
        <v>10</v>
      </c>
      <c r="K12">
        <f>VLOOKUP($A12,Employee_Cleaned!$A$2:$Q$151,11,FALSE)</f>
        <v>2016</v>
      </c>
      <c r="L12">
        <f>VLOOKUP($A12,Employee_Cleaned!$A$2:$Q$151,12,FALSE)</f>
        <v>2</v>
      </c>
      <c r="M12">
        <f>VLOOKUP($A12,Employee_Cleaned!$A$2:$Q$151,13,FALSE)</f>
        <v>1</v>
      </c>
      <c r="N12" s="10">
        <f ca="1">VLOOKUP($A12,Employee_Cleaned!$A$2:$Q$151,14,FALSE)</f>
        <v>46090.85657546296</v>
      </c>
      <c r="O12">
        <f ca="1">VLOOKUP($A12,Employee_Cleaned!$A$2:$Q$151,10,FALSE)</f>
        <v>10</v>
      </c>
      <c r="P12" t="str">
        <f>VLOOKUP($A12,Employee_Cleaned!$A$2:$Q$151,16,FALSE)</f>
        <v>Male</v>
      </c>
      <c r="Q12" t="str">
        <f>VLOOKUP($A12,Employee_Cleaned!$A$2:$Q$151,17,FALSE)</f>
        <v>user150@example.com</v>
      </c>
    </row>
    <row r="13" spans="1:17">
      <c r="A13" s="18" t="s">
        <v>69</v>
      </c>
      <c r="B13" t="str">
        <f>VLOOKUP($A13,Employee_Cleaned!$A$2:$Q$151,2,FALSE)</f>
        <v>Unknown</v>
      </c>
      <c r="C13" t="str">
        <f>VLOOKUP($A13,Employee_Cleaned!$A$2:$Q$151,3,FALSE)</f>
        <v>Unknown</v>
      </c>
      <c r="D13" t="str">
        <f>VLOOKUP($A13,Employee_Cleaned!$A$2:$Q$151,4,FALSE)</f>
        <v>Unknown</v>
      </c>
      <c r="E13" t="str">
        <f>VLOOKUP($A13,Employee_Cleaned!$A$2:$Q$151,5,FALSE)</f>
        <v>Unknown</v>
      </c>
      <c r="F13" t="str">
        <f>VLOOKUP($A13,Employee_Cleaned!$A$2:$Q$151,6,FALSE)</f>
        <v>Marketing</v>
      </c>
      <c r="G13" t="str">
        <f>VLOOKUP($A13,Employee_Cleaned!$A$2:$Q$151,7,FALSE)</f>
        <v>Germany</v>
      </c>
      <c r="H13" s="23">
        <f>VLOOKUP($A13,Employee_Cleaned!$A$2:$Q$151,8,FALSE)</f>
        <v>66281</v>
      </c>
      <c r="I13" s="9" t="str">
        <f>VLOOKUP($A13,Employee_Cleaned!$A$2:$Q$151,9,FALSE)</f>
        <v>Unknown</v>
      </c>
      <c r="J13" t="str">
        <f ca="1">VLOOKUP($A13,Employee_Cleaned!$A$2:$Q$151,10,FALSE)</f>
        <v>Unknown</v>
      </c>
      <c r="K13" t="str">
        <f>VLOOKUP($A13,Employee_Cleaned!$A$2:$Q$151,11,FALSE)</f>
        <v>Unknown</v>
      </c>
      <c r="L13" t="str">
        <f>VLOOKUP($A13,Employee_Cleaned!$A$2:$Q$151,12,FALSE)</f>
        <v>Unknown</v>
      </c>
      <c r="M13" t="str">
        <f>VLOOKUP($A13,Employee_Cleaned!$A$2:$Q$151,13,FALSE)</f>
        <v>Unknown</v>
      </c>
      <c r="N13" s="10">
        <f ca="1">VLOOKUP($A13,Employee_Cleaned!$A$2:$Q$151,14,FALSE)</f>
        <v>46090.85657546296</v>
      </c>
      <c r="O13" t="str">
        <f ca="1">VLOOKUP($A13,Employee_Cleaned!$A$2:$Q$151,10,FALSE)</f>
        <v>Unknown</v>
      </c>
      <c r="P13" t="str">
        <f>VLOOKUP($A13,Employee_Cleaned!$A$2:$Q$151,16,FALSE)</f>
        <v>Unknown</v>
      </c>
      <c r="Q13" t="str">
        <f>VLOOKUP($A13,Employee_Cleaned!$A$2:$Q$151,17,FALSE)</f>
        <v>user112@example.com</v>
      </c>
    </row>
    <row r="14" spans="1:17">
      <c r="A14" s="17" t="s">
        <v>71</v>
      </c>
      <c r="B14" t="str">
        <f>VLOOKUP($A14,Employee_Cleaned!$A$2:$Q$151,2,FALSE)</f>
        <v>ChrisLee</v>
      </c>
      <c r="C14" t="str">
        <f>VLOOKUP($A14,Employee_Cleaned!$A$2:$Q$151,3,FALSE)</f>
        <v>Chris</v>
      </c>
      <c r="D14" t="str">
        <f>VLOOKUP($A14,Employee_Cleaned!$A$2:$Q$151,4,FALSE)</f>
        <v>Lee</v>
      </c>
      <c r="E14" t="str">
        <f>VLOOKUP($A14,Employee_Cleaned!$A$2:$Q$151,5,FALSE)</f>
        <v>ChrisLee</v>
      </c>
      <c r="F14" t="str">
        <f>VLOOKUP($A14,Employee_Cleaned!$A$2:$Q$151,6,FALSE)</f>
        <v>IT</v>
      </c>
      <c r="G14" t="str">
        <f>VLOOKUP($A14,Employee_Cleaned!$A$2:$Q$151,7,FALSE)</f>
        <v>UK</v>
      </c>
      <c r="H14" s="23">
        <f>VLOOKUP($A14,Employee_Cleaned!$A$2:$Q$151,8,FALSE)</f>
        <v>97981</v>
      </c>
      <c r="I14" s="9">
        <f>VLOOKUP($A14,Employee_Cleaned!$A$2:$Q$151,9,FALSE)</f>
        <v>42442</v>
      </c>
      <c r="J14">
        <f ca="1">VLOOKUP($A14,Employee_Cleaned!$A$2:$Q$151,10,FALSE)</f>
        <v>9</v>
      </c>
      <c r="K14">
        <f>VLOOKUP($A14,Employee_Cleaned!$A$2:$Q$151,11,FALSE)</f>
        <v>2016</v>
      </c>
      <c r="L14">
        <f>VLOOKUP($A14,Employee_Cleaned!$A$2:$Q$151,12,FALSE)</f>
        <v>3</v>
      </c>
      <c r="M14">
        <f>VLOOKUP($A14,Employee_Cleaned!$A$2:$Q$151,13,FALSE)</f>
        <v>1</v>
      </c>
      <c r="N14" s="10">
        <f ca="1">VLOOKUP($A14,Employee_Cleaned!$A$2:$Q$151,14,FALSE)</f>
        <v>46090.85657546296</v>
      </c>
      <c r="O14">
        <f ca="1">VLOOKUP($A14,Employee_Cleaned!$A$2:$Q$151,10,FALSE)</f>
        <v>9</v>
      </c>
      <c r="P14" t="str">
        <f>VLOOKUP($A14,Employee_Cleaned!$A$2:$Q$151,16,FALSE)</f>
        <v>Female</v>
      </c>
      <c r="Q14" t="str">
        <f>VLOOKUP($A14,Employee_Cleaned!$A$2:$Q$151,17,FALSE)</f>
        <v>user71@example.com</v>
      </c>
    </row>
    <row r="15" spans="1:17">
      <c r="A15" s="18" t="s">
        <v>79</v>
      </c>
      <c r="B15" t="str">
        <f>VLOOKUP($A15,Employee_Cleaned!$A$2:$Q$151,2,FALSE)</f>
        <v>EveAdams</v>
      </c>
      <c r="C15" t="str">
        <f>VLOOKUP($A15,Employee_Cleaned!$A$2:$Q$151,3,FALSE)</f>
        <v>Eve</v>
      </c>
      <c r="D15" t="str">
        <f>VLOOKUP($A15,Employee_Cleaned!$A$2:$Q$151,4,FALSE)</f>
        <v>Adams</v>
      </c>
      <c r="E15" t="str">
        <f>VLOOKUP($A15,Employee_Cleaned!$A$2:$Q$151,5,FALSE)</f>
        <v>EveAdams</v>
      </c>
      <c r="F15" t="str">
        <f>VLOOKUP($A15,Employee_Cleaned!$A$2:$Q$151,6,FALSE)</f>
        <v>Sales</v>
      </c>
      <c r="G15" t="str">
        <f>VLOOKUP($A15,Employee_Cleaned!$A$2:$Q$151,7,FALSE)</f>
        <v>Australia</v>
      </c>
      <c r="H15" s="23">
        <f>VLOOKUP($A15,Employee_Cleaned!$A$2:$Q$151,8,FALSE)</f>
        <v>69952</v>
      </c>
      <c r="I15" s="9">
        <f>VLOOKUP($A15,Employee_Cleaned!$A$2:$Q$151,9,FALSE)</f>
        <v>42498</v>
      </c>
      <c r="J15">
        <f ca="1">VLOOKUP($A15,Employee_Cleaned!$A$2:$Q$151,10,FALSE)</f>
        <v>9</v>
      </c>
      <c r="K15">
        <f>VLOOKUP($A15,Employee_Cleaned!$A$2:$Q$151,11,FALSE)</f>
        <v>2016</v>
      </c>
      <c r="L15">
        <f>VLOOKUP($A15,Employee_Cleaned!$A$2:$Q$151,12,FALSE)</f>
        <v>5</v>
      </c>
      <c r="M15">
        <f>VLOOKUP($A15,Employee_Cleaned!$A$2:$Q$151,13,FALSE)</f>
        <v>1</v>
      </c>
      <c r="N15" s="10">
        <f ca="1">VLOOKUP($A15,Employee_Cleaned!$A$2:$Q$151,14,FALSE)</f>
        <v>46090.85657546296</v>
      </c>
      <c r="O15">
        <f ca="1">VLOOKUP($A15,Employee_Cleaned!$A$2:$Q$151,10,FALSE)</f>
        <v>9</v>
      </c>
      <c r="P15" t="str">
        <f>VLOOKUP($A15,Employee_Cleaned!$A$2:$Q$151,16,FALSE)</f>
        <v>Female</v>
      </c>
      <c r="Q15" t="str">
        <f>VLOOKUP($A15,Employee_Cleaned!$A$2:$Q$151,17,FALSE)</f>
        <v>Unknown</v>
      </c>
    </row>
    <row r="16" spans="1:17">
      <c r="A16" s="17" t="s">
        <v>94</v>
      </c>
      <c r="B16" t="str">
        <f>VLOOKUP($A16,Employee_Cleaned!$A$2:$Q$151,2,FALSE)</f>
        <v>ChrisLee</v>
      </c>
      <c r="C16" t="str">
        <f>VLOOKUP($A16,Employee_Cleaned!$A$2:$Q$151,3,FALSE)</f>
        <v>Chris</v>
      </c>
      <c r="D16" t="str">
        <f>VLOOKUP($A16,Employee_Cleaned!$A$2:$Q$151,4,FALSE)</f>
        <v>Lee</v>
      </c>
      <c r="E16" t="str">
        <f>VLOOKUP($A16,Employee_Cleaned!$A$2:$Q$151,5,FALSE)</f>
        <v>ChrisLee</v>
      </c>
      <c r="F16" t="str">
        <f>VLOOKUP($A16,Employee_Cleaned!$A$2:$Q$151,6,FALSE)</f>
        <v>Finance</v>
      </c>
      <c r="G16" t="str">
        <f>VLOOKUP($A16,Employee_Cleaned!$A$2:$Q$151,7,FALSE)</f>
        <v>Unknown</v>
      </c>
      <c r="H16" s="23">
        <f>VLOOKUP($A16,Employee_Cleaned!$A$2:$Q$151,8,FALSE)</f>
        <v>35163</v>
      </c>
      <c r="I16" s="9">
        <f>VLOOKUP($A16,Employee_Cleaned!$A$2:$Q$151,9,FALSE)</f>
        <v>42603</v>
      </c>
      <c r="J16">
        <f ca="1">VLOOKUP($A16,Employee_Cleaned!$A$2:$Q$151,10,FALSE)</f>
        <v>9</v>
      </c>
      <c r="K16">
        <f>VLOOKUP($A16,Employee_Cleaned!$A$2:$Q$151,11,FALSE)</f>
        <v>2016</v>
      </c>
      <c r="L16">
        <f>VLOOKUP($A16,Employee_Cleaned!$A$2:$Q$151,12,FALSE)</f>
        <v>8</v>
      </c>
      <c r="M16">
        <f>VLOOKUP($A16,Employee_Cleaned!$A$2:$Q$151,13,FALSE)</f>
        <v>1</v>
      </c>
      <c r="N16" s="10">
        <f ca="1">VLOOKUP($A16,Employee_Cleaned!$A$2:$Q$151,14,FALSE)</f>
        <v>46090.85657546296</v>
      </c>
      <c r="O16">
        <f ca="1">VLOOKUP($A16,Employee_Cleaned!$A$2:$Q$151,10,FALSE)</f>
        <v>9</v>
      </c>
      <c r="P16" t="str">
        <f>VLOOKUP($A16,Employee_Cleaned!$A$2:$Q$151,16,FALSE)</f>
        <v>Other</v>
      </c>
      <c r="Q16" t="str">
        <f>VLOOKUP($A16,Employee_Cleaned!$A$2:$Q$151,17,FALSE)</f>
        <v>user197@example.com</v>
      </c>
    </row>
    <row r="17" spans="1:17">
      <c r="A17" s="18" t="s">
        <v>101</v>
      </c>
      <c r="B17" t="str">
        <f>VLOOKUP($A17,Employee_Cleaned!$A$2:$Q$151,2,FALSE)</f>
        <v>JaneSmith</v>
      </c>
      <c r="C17" t="str">
        <f>VLOOKUP($A17,Employee_Cleaned!$A$2:$Q$151,3,FALSE)</f>
        <v>Jane</v>
      </c>
      <c r="D17" t="str">
        <f>VLOOKUP($A17,Employee_Cleaned!$A$2:$Q$151,4,FALSE)</f>
        <v>Smith</v>
      </c>
      <c r="E17" t="str">
        <f>VLOOKUP($A17,Employee_Cleaned!$A$2:$Q$151,5,FALSE)</f>
        <v>JaneSmith</v>
      </c>
      <c r="F17" t="str">
        <f>VLOOKUP($A17,Employee_Cleaned!$A$2:$Q$151,6,FALSE)</f>
        <v>IT</v>
      </c>
      <c r="G17" t="str">
        <f>VLOOKUP($A17,Employee_Cleaned!$A$2:$Q$151,7,FALSE)</f>
        <v>Unknown</v>
      </c>
      <c r="H17" s="23">
        <f>VLOOKUP($A17,Employee_Cleaned!$A$2:$Q$151,8,FALSE)</f>
        <v>80588</v>
      </c>
      <c r="I17" s="9">
        <f>VLOOKUP($A17,Employee_Cleaned!$A$2:$Q$151,9,FALSE)</f>
        <v>42652</v>
      </c>
      <c r="J17">
        <f ca="1">VLOOKUP($A17,Employee_Cleaned!$A$2:$Q$151,10,FALSE)</f>
        <v>9</v>
      </c>
      <c r="K17">
        <f>VLOOKUP($A17,Employee_Cleaned!$A$2:$Q$151,11,FALSE)</f>
        <v>2016</v>
      </c>
      <c r="L17">
        <f>VLOOKUP($A17,Employee_Cleaned!$A$2:$Q$151,12,FALSE)</f>
        <v>10</v>
      </c>
      <c r="M17">
        <f>VLOOKUP($A17,Employee_Cleaned!$A$2:$Q$151,13,FALSE)</f>
        <v>1</v>
      </c>
      <c r="N17" s="10">
        <f ca="1">VLOOKUP($A17,Employee_Cleaned!$A$2:$Q$151,14,FALSE)</f>
        <v>46090.85657546296</v>
      </c>
      <c r="O17">
        <f ca="1">VLOOKUP($A17,Employee_Cleaned!$A$2:$Q$151,10,FALSE)</f>
        <v>9</v>
      </c>
      <c r="P17" t="str">
        <f>VLOOKUP($A17,Employee_Cleaned!$A$2:$Q$151,16,FALSE)</f>
        <v>Male</v>
      </c>
      <c r="Q17" t="str">
        <f>VLOOKUP($A17,Employee_Cleaned!$A$2:$Q$151,17,FALSE)</f>
        <v>user98@example.com</v>
      </c>
    </row>
    <row r="18" spans="1:17">
      <c r="A18" s="17" t="s">
        <v>112</v>
      </c>
      <c r="B18" t="str">
        <f>VLOOKUP($A18,Employee_Cleaned!$A$2:$Q$151,2,FALSE)</f>
        <v>AliceBrown</v>
      </c>
      <c r="C18" t="str">
        <f>VLOOKUP($A18,Employee_Cleaned!$A$2:$Q$151,3,FALSE)</f>
        <v>Alice</v>
      </c>
      <c r="D18" t="str">
        <f>VLOOKUP($A18,Employee_Cleaned!$A$2:$Q$151,4,FALSE)</f>
        <v>Brown</v>
      </c>
      <c r="E18" t="str">
        <f>VLOOKUP($A18,Employee_Cleaned!$A$2:$Q$151,5,FALSE)</f>
        <v>AliceBrown</v>
      </c>
      <c r="F18" t="str">
        <f>VLOOKUP($A18,Employee_Cleaned!$A$2:$Q$151,6,FALSE)</f>
        <v>Marketing</v>
      </c>
      <c r="G18" t="str">
        <f>VLOOKUP($A18,Employee_Cleaned!$A$2:$Q$151,7,FALSE)</f>
        <v>Unknown</v>
      </c>
      <c r="H18" s="23">
        <f>VLOOKUP($A18,Employee_Cleaned!$A$2:$Q$151,8,FALSE)</f>
        <v>79145</v>
      </c>
      <c r="I18" s="9">
        <f>VLOOKUP($A18,Employee_Cleaned!$A$2:$Q$151,9,FALSE)</f>
        <v>42729</v>
      </c>
      <c r="J18">
        <f ca="1">VLOOKUP($A18,Employee_Cleaned!$A$2:$Q$151,10,FALSE)</f>
        <v>9</v>
      </c>
      <c r="K18">
        <f>VLOOKUP($A18,Employee_Cleaned!$A$2:$Q$151,11,FALSE)</f>
        <v>2016</v>
      </c>
      <c r="L18">
        <f>VLOOKUP($A18,Employee_Cleaned!$A$2:$Q$151,12,FALSE)</f>
        <v>12</v>
      </c>
      <c r="M18">
        <f>VLOOKUP($A18,Employee_Cleaned!$A$2:$Q$151,13,FALSE)</f>
        <v>1</v>
      </c>
      <c r="N18" s="10">
        <f ca="1">VLOOKUP($A18,Employee_Cleaned!$A$2:$Q$151,14,FALSE)</f>
        <v>46090.85657546296</v>
      </c>
      <c r="O18">
        <f ca="1">VLOOKUP($A18,Employee_Cleaned!$A$2:$Q$151,10,FALSE)</f>
        <v>9</v>
      </c>
      <c r="P18" t="str">
        <f>VLOOKUP($A18,Employee_Cleaned!$A$2:$Q$151,16,FALSE)</f>
        <v>Other</v>
      </c>
      <c r="Q18" t="str">
        <f>VLOOKUP($A18,Employee_Cleaned!$A$2:$Q$151,17,FALSE)</f>
        <v>user20@example.com</v>
      </c>
    </row>
    <row r="19" spans="1:17">
      <c r="A19" s="18" t="s">
        <v>120</v>
      </c>
      <c r="B19" t="str">
        <f>VLOOKUP($A19,Employee_Cleaned!$A$2:$Q$151,2,FALSE)</f>
        <v>ChrisLee</v>
      </c>
      <c r="C19" t="str">
        <f>VLOOKUP($A19,Employee_Cleaned!$A$2:$Q$151,3,FALSE)</f>
        <v>Chris</v>
      </c>
      <c r="D19" t="str">
        <f>VLOOKUP($A19,Employee_Cleaned!$A$2:$Q$151,4,FALSE)</f>
        <v>Lee</v>
      </c>
      <c r="E19" t="str">
        <f>VLOOKUP($A19,Employee_Cleaned!$A$2:$Q$151,5,FALSE)</f>
        <v>ChrisLee</v>
      </c>
      <c r="F19" t="str">
        <f>VLOOKUP($A19,Employee_Cleaned!$A$2:$Q$151,6,FALSE)</f>
        <v>IT</v>
      </c>
      <c r="G19" t="str">
        <f>VLOOKUP($A19,Employee_Cleaned!$A$2:$Q$151,7,FALSE)</f>
        <v>USA</v>
      </c>
      <c r="H19" s="23">
        <f>VLOOKUP($A19,Employee_Cleaned!$A$2:$Q$151,8,FALSE)</f>
        <v>34306</v>
      </c>
      <c r="I19" s="9">
        <f>VLOOKUP($A19,Employee_Cleaned!$A$2:$Q$151,9,FALSE)</f>
        <v>42785</v>
      </c>
      <c r="J19">
        <f ca="1">VLOOKUP($A19,Employee_Cleaned!$A$2:$Q$151,10,FALSE)</f>
        <v>9</v>
      </c>
      <c r="K19">
        <f>VLOOKUP($A19,Employee_Cleaned!$A$2:$Q$151,11,FALSE)</f>
        <v>2017</v>
      </c>
      <c r="L19">
        <f>VLOOKUP($A19,Employee_Cleaned!$A$2:$Q$151,12,FALSE)</f>
        <v>2</v>
      </c>
      <c r="M19">
        <f>VLOOKUP($A19,Employee_Cleaned!$A$2:$Q$151,13,FALSE)</f>
        <v>1</v>
      </c>
      <c r="N19" s="10">
        <f ca="1">VLOOKUP($A19,Employee_Cleaned!$A$2:$Q$151,14,FALSE)</f>
        <v>46090.85657546296</v>
      </c>
      <c r="O19">
        <f ca="1">VLOOKUP($A19,Employee_Cleaned!$A$2:$Q$151,10,FALSE)</f>
        <v>9</v>
      </c>
      <c r="P19" t="str">
        <f>VLOOKUP($A19,Employee_Cleaned!$A$2:$Q$151,16,FALSE)</f>
        <v>Female</v>
      </c>
      <c r="Q19" t="str">
        <f>VLOOKUP($A19,Employee_Cleaned!$A$2:$Q$151,17,FALSE)</f>
        <v>user192@example.com</v>
      </c>
    </row>
    <row r="20" spans="1:17">
      <c r="A20" s="17" t="s">
        <v>125</v>
      </c>
      <c r="B20" t="str">
        <f>VLOOKUP($A20,Employee_Cleaned!$A$2:$Q$151,2,FALSE)</f>
        <v>BobJohnson</v>
      </c>
      <c r="C20" t="str">
        <f>VLOOKUP($A20,Employee_Cleaned!$A$2:$Q$151,3,FALSE)</f>
        <v>Bob</v>
      </c>
      <c r="D20" t="str">
        <f>VLOOKUP($A20,Employee_Cleaned!$A$2:$Q$151,4,FALSE)</f>
        <v>Johnson</v>
      </c>
      <c r="E20" t="str">
        <f>VLOOKUP($A20,Employee_Cleaned!$A$2:$Q$151,5,FALSE)</f>
        <v>BobJohnson</v>
      </c>
      <c r="F20" t="str">
        <f>VLOOKUP($A20,Employee_Cleaned!$A$2:$Q$151,6,FALSE)</f>
        <v>Marketing</v>
      </c>
      <c r="G20" t="str">
        <f>VLOOKUP($A20,Employee_Cleaned!$A$2:$Q$151,7,FALSE)</f>
        <v>Australia</v>
      </c>
      <c r="H20" s="23">
        <f>VLOOKUP($A20,Employee_Cleaned!$A$2:$Q$151,8,FALSE)</f>
        <v>38837</v>
      </c>
      <c r="I20" s="9">
        <f>VLOOKUP($A20,Employee_Cleaned!$A$2:$Q$151,9,FALSE)</f>
        <v>42820</v>
      </c>
      <c r="J20">
        <f ca="1">VLOOKUP($A20,Employee_Cleaned!$A$2:$Q$151,10,FALSE)</f>
        <v>8</v>
      </c>
      <c r="K20">
        <f>VLOOKUP($A20,Employee_Cleaned!$A$2:$Q$151,11,FALSE)</f>
        <v>2017</v>
      </c>
      <c r="L20">
        <f>VLOOKUP($A20,Employee_Cleaned!$A$2:$Q$151,12,FALSE)</f>
        <v>3</v>
      </c>
      <c r="M20">
        <f>VLOOKUP($A20,Employee_Cleaned!$A$2:$Q$151,13,FALSE)</f>
        <v>1</v>
      </c>
      <c r="N20" s="10">
        <f ca="1">VLOOKUP($A20,Employee_Cleaned!$A$2:$Q$151,14,FALSE)</f>
        <v>46090.85657546296</v>
      </c>
      <c r="O20">
        <f ca="1">VLOOKUP($A20,Employee_Cleaned!$A$2:$Q$151,10,FALSE)</f>
        <v>8</v>
      </c>
      <c r="P20" t="str">
        <f>VLOOKUP($A20,Employee_Cleaned!$A$2:$Q$151,16,FALSE)</f>
        <v>Female</v>
      </c>
      <c r="Q20" t="str">
        <f>VLOOKUP($A20,Employee_Cleaned!$A$2:$Q$151,17,FALSE)</f>
        <v>user192@example.com</v>
      </c>
    </row>
    <row r="21" spans="1:17">
      <c r="A21" s="18" t="s">
        <v>129</v>
      </c>
      <c r="B21" t="str">
        <f>VLOOKUP($A21,Employee_Cleaned!$A$2:$Q$151,2,FALSE)</f>
        <v>Unknown</v>
      </c>
      <c r="C21" t="str">
        <f>VLOOKUP($A21,Employee_Cleaned!$A$2:$Q$151,3,FALSE)</f>
        <v>Unknown</v>
      </c>
      <c r="D21" t="str">
        <f>VLOOKUP($A21,Employee_Cleaned!$A$2:$Q$151,4,FALSE)</f>
        <v>Unknown</v>
      </c>
      <c r="E21" t="str">
        <f>VLOOKUP($A21,Employee_Cleaned!$A$2:$Q$151,5,FALSE)</f>
        <v>Unknown</v>
      </c>
      <c r="F21" t="str">
        <f>VLOOKUP($A21,Employee_Cleaned!$A$2:$Q$151,6,FALSE)</f>
        <v>IT</v>
      </c>
      <c r="G21" t="str">
        <f>VLOOKUP($A21,Employee_Cleaned!$A$2:$Q$151,7,FALSE)</f>
        <v>USA</v>
      </c>
      <c r="H21" s="23">
        <f>VLOOKUP($A21,Employee_Cleaned!$A$2:$Q$151,8,FALSE)</f>
        <v>66281</v>
      </c>
      <c r="I21" s="9" t="str">
        <f>VLOOKUP($A21,Employee_Cleaned!$A$2:$Q$151,9,FALSE)</f>
        <v>Unknown</v>
      </c>
      <c r="J21" t="str">
        <f ca="1">VLOOKUP($A21,Employee_Cleaned!$A$2:$Q$151,10,FALSE)</f>
        <v>Unknown</v>
      </c>
      <c r="K21" t="str">
        <f>VLOOKUP($A21,Employee_Cleaned!$A$2:$Q$151,11,FALSE)</f>
        <v>Unknown</v>
      </c>
      <c r="L21" t="str">
        <f>VLOOKUP($A21,Employee_Cleaned!$A$2:$Q$151,12,FALSE)</f>
        <v>Unknown</v>
      </c>
      <c r="M21" t="str">
        <f>VLOOKUP($A21,Employee_Cleaned!$A$2:$Q$151,13,FALSE)</f>
        <v>Unknown</v>
      </c>
      <c r="N21" s="10">
        <f ca="1">VLOOKUP($A21,Employee_Cleaned!$A$2:$Q$151,14,FALSE)</f>
        <v>46090.85657546296</v>
      </c>
      <c r="O21" t="str">
        <f ca="1">VLOOKUP($A21,Employee_Cleaned!$A$2:$Q$151,10,FALSE)</f>
        <v>Unknown</v>
      </c>
      <c r="P21" t="str">
        <f>VLOOKUP($A21,Employee_Cleaned!$A$2:$Q$151,16,FALSE)</f>
        <v>Unknown</v>
      </c>
      <c r="Q21" t="str">
        <f>VLOOKUP($A21,Employee_Cleaned!$A$2:$Q$151,17,FALSE)</f>
        <v>user101@example.com</v>
      </c>
    </row>
    <row r="22" spans="1:17">
      <c r="A22" s="17" t="s">
        <v>132</v>
      </c>
      <c r="B22" t="str">
        <f>VLOOKUP($A22,Employee_Cleaned!$A$2:$Q$151,2,FALSE)</f>
        <v>JaneSmith</v>
      </c>
      <c r="C22" t="str">
        <f>VLOOKUP($A22,Employee_Cleaned!$A$2:$Q$151,3,FALSE)</f>
        <v>Jane</v>
      </c>
      <c r="D22" t="str">
        <f>VLOOKUP($A22,Employee_Cleaned!$A$2:$Q$151,4,FALSE)</f>
        <v>Smith</v>
      </c>
      <c r="E22" t="str">
        <f>VLOOKUP($A22,Employee_Cleaned!$A$2:$Q$151,5,FALSE)</f>
        <v>JaneSmith</v>
      </c>
      <c r="F22" t="str">
        <f>VLOOKUP($A22,Employee_Cleaned!$A$2:$Q$151,6,FALSE)</f>
        <v>Unknown</v>
      </c>
      <c r="G22" t="str">
        <f>VLOOKUP($A22,Employee_Cleaned!$A$2:$Q$151,7,FALSE)</f>
        <v>Germany</v>
      </c>
      <c r="H22" s="23">
        <f>VLOOKUP($A22,Employee_Cleaned!$A$2:$Q$151,8,FALSE)</f>
        <v>30357</v>
      </c>
      <c r="I22" s="9">
        <f>VLOOKUP($A22,Employee_Cleaned!$A$2:$Q$151,9,FALSE)</f>
        <v>42869</v>
      </c>
      <c r="J22">
        <f ca="1">VLOOKUP($A22,Employee_Cleaned!$A$2:$Q$151,10,FALSE)</f>
        <v>8</v>
      </c>
      <c r="K22">
        <f>VLOOKUP($A22,Employee_Cleaned!$A$2:$Q$151,11,FALSE)</f>
        <v>2017</v>
      </c>
      <c r="L22">
        <f>VLOOKUP($A22,Employee_Cleaned!$A$2:$Q$151,12,FALSE)</f>
        <v>5</v>
      </c>
      <c r="M22">
        <f>VLOOKUP($A22,Employee_Cleaned!$A$2:$Q$151,13,FALSE)</f>
        <v>1</v>
      </c>
      <c r="N22" s="10">
        <f ca="1">VLOOKUP($A22,Employee_Cleaned!$A$2:$Q$151,14,FALSE)</f>
        <v>46090.85657546296</v>
      </c>
      <c r="O22">
        <f ca="1">VLOOKUP($A22,Employee_Cleaned!$A$2:$Q$151,10,FALSE)</f>
        <v>8</v>
      </c>
      <c r="P22" t="str">
        <f>VLOOKUP($A22,Employee_Cleaned!$A$2:$Q$151,16,FALSE)</f>
        <v>Male</v>
      </c>
      <c r="Q22" t="str">
        <f>VLOOKUP($A22,Employee_Cleaned!$A$2:$Q$151,17,FALSE)</f>
        <v>user145@example.com</v>
      </c>
    </row>
    <row r="23" spans="1:17">
      <c r="A23" s="18" t="s">
        <v>134</v>
      </c>
      <c r="B23" t="str">
        <f>VLOOKUP($A23,Employee_Cleaned!$A$2:$Q$151,2,FALSE)</f>
        <v>JohnDoe</v>
      </c>
      <c r="C23" t="str">
        <f>VLOOKUP($A23,Employee_Cleaned!$A$2:$Q$151,3,FALSE)</f>
        <v>John</v>
      </c>
      <c r="D23" t="str">
        <f>VLOOKUP($A23,Employee_Cleaned!$A$2:$Q$151,4,FALSE)</f>
        <v>Doe</v>
      </c>
      <c r="E23" t="str">
        <f>VLOOKUP($A23,Employee_Cleaned!$A$2:$Q$151,5,FALSE)</f>
        <v>JohnDoe</v>
      </c>
      <c r="F23" t="str">
        <f>VLOOKUP($A23,Employee_Cleaned!$A$2:$Q$151,6,FALSE)</f>
        <v>Finance</v>
      </c>
      <c r="G23" t="str">
        <f>VLOOKUP($A23,Employee_Cleaned!$A$2:$Q$151,7,FALSE)</f>
        <v>Unknown</v>
      </c>
      <c r="H23" s="23">
        <f>VLOOKUP($A23,Employee_Cleaned!$A$2:$Q$151,8,FALSE)</f>
        <v>90019</v>
      </c>
      <c r="I23" s="9">
        <f>VLOOKUP($A23,Employee_Cleaned!$A$2:$Q$151,9,FALSE)</f>
        <v>42883</v>
      </c>
      <c r="J23">
        <f ca="1">VLOOKUP($A23,Employee_Cleaned!$A$2:$Q$151,10,FALSE)</f>
        <v>8</v>
      </c>
      <c r="K23">
        <f>VLOOKUP($A23,Employee_Cleaned!$A$2:$Q$151,11,FALSE)</f>
        <v>2017</v>
      </c>
      <c r="L23">
        <f>VLOOKUP($A23,Employee_Cleaned!$A$2:$Q$151,12,FALSE)</f>
        <v>5</v>
      </c>
      <c r="M23">
        <f>VLOOKUP($A23,Employee_Cleaned!$A$2:$Q$151,13,FALSE)</f>
        <v>1</v>
      </c>
      <c r="N23" s="10">
        <f ca="1">VLOOKUP($A23,Employee_Cleaned!$A$2:$Q$151,14,FALSE)</f>
        <v>46090.85657546296</v>
      </c>
      <c r="O23">
        <f ca="1">VLOOKUP($A23,Employee_Cleaned!$A$2:$Q$151,10,FALSE)</f>
        <v>8</v>
      </c>
      <c r="P23" t="str">
        <f>VLOOKUP($A23,Employee_Cleaned!$A$2:$Q$151,16,FALSE)</f>
        <v>Unknown</v>
      </c>
      <c r="Q23" t="str">
        <f>VLOOKUP($A23,Employee_Cleaned!$A$2:$Q$151,17,FALSE)</f>
        <v>user52@example.com</v>
      </c>
    </row>
    <row r="24" spans="1:17">
      <c r="A24" s="17" t="s">
        <v>150</v>
      </c>
      <c r="B24" t="str">
        <f>VLOOKUP($A24,Employee_Cleaned!$A$2:$Q$151,2,FALSE)</f>
        <v>JaneSmith</v>
      </c>
      <c r="C24" t="str">
        <f>VLOOKUP($A24,Employee_Cleaned!$A$2:$Q$151,3,FALSE)</f>
        <v>Jane</v>
      </c>
      <c r="D24" t="str">
        <f>VLOOKUP($A24,Employee_Cleaned!$A$2:$Q$151,4,FALSE)</f>
        <v>Smith</v>
      </c>
      <c r="E24" t="str">
        <f>VLOOKUP($A24,Employee_Cleaned!$A$2:$Q$151,5,FALSE)</f>
        <v>JaneSmith</v>
      </c>
      <c r="F24" t="str">
        <f>VLOOKUP($A24,Employee_Cleaned!$A$2:$Q$151,6,FALSE)</f>
        <v>Marketing</v>
      </c>
      <c r="G24" t="str">
        <f>VLOOKUP($A24,Employee_Cleaned!$A$2:$Q$151,7,FALSE)</f>
        <v>USA</v>
      </c>
      <c r="H24" s="23">
        <f>VLOOKUP($A24,Employee_Cleaned!$A$2:$Q$151,8,FALSE)</f>
        <v>66882</v>
      </c>
      <c r="I24" s="9">
        <f>VLOOKUP($A24,Employee_Cleaned!$A$2:$Q$151,9,FALSE)</f>
        <v>42995</v>
      </c>
      <c r="J24">
        <f ca="1">VLOOKUP($A24,Employee_Cleaned!$A$2:$Q$151,10,FALSE)</f>
        <v>8</v>
      </c>
      <c r="K24">
        <f>VLOOKUP($A24,Employee_Cleaned!$A$2:$Q$151,11,FALSE)</f>
        <v>2017</v>
      </c>
      <c r="L24">
        <f>VLOOKUP($A24,Employee_Cleaned!$A$2:$Q$151,12,FALSE)</f>
        <v>9</v>
      </c>
      <c r="M24">
        <f>VLOOKUP($A24,Employee_Cleaned!$A$2:$Q$151,13,FALSE)</f>
        <v>1</v>
      </c>
      <c r="N24" s="10">
        <f ca="1">VLOOKUP($A24,Employee_Cleaned!$A$2:$Q$151,14,FALSE)</f>
        <v>46090.85657546296</v>
      </c>
      <c r="O24">
        <f ca="1">VLOOKUP($A24,Employee_Cleaned!$A$2:$Q$151,10,FALSE)</f>
        <v>8</v>
      </c>
      <c r="P24" t="str">
        <f>VLOOKUP($A24,Employee_Cleaned!$A$2:$Q$151,16,FALSE)</f>
        <v>Other</v>
      </c>
      <c r="Q24" t="str">
        <f>VLOOKUP($A24,Employee_Cleaned!$A$2:$Q$151,17,FALSE)</f>
        <v>user103@example.com</v>
      </c>
    </row>
    <row r="25" spans="1:17">
      <c r="A25" s="18" t="s">
        <v>154</v>
      </c>
      <c r="B25" t="str">
        <f>VLOOKUP($A25,Employee_Cleaned!$A$2:$Q$151,2,FALSE)</f>
        <v>SamWilson</v>
      </c>
      <c r="C25" t="str">
        <f>VLOOKUP($A25,Employee_Cleaned!$A$2:$Q$151,3,FALSE)</f>
        <v>Sam</v>
      </c>
      <c r="D25" t="str">
        <f>VLOOKUP($A25,Employee_Cleaned!$A$2:$Q$151,4,FALSE)</f>
        <v>Wilson</v>
      </c>
      <c r="E25" t="str">
        <f>VLOOKUP($A25,Employee_Cleaned!$A$2:$Q$151,5,FALSE)</f>
        <v>SamWilson</v>
      </c>
      <c r="F25" t="str">
        <f>VLOOKUP($A25,Employee_Cleaned!$A$2:$Q$151,6,FALSE)</f>
        <v>Sales</v>
      </c>
      <c r="G25" t="str">
        <f>VLOOKUP($A25,Employee_Cleaned!$A$2:$Q$151,7,FALSE)</f>
        <v>Australia</v>
      </c>
      <c r="H25" s="23">
        <f>VLOOKUP($A25,Employee_Cleaned!$A$2:$Q$151,8,FALSE)</f>
        <v>35627</v>
      </c>
      <c r="I25" s="9">
        <f>VLOOKUP($A25,Employee_Cleaned!$A$2:$Q$151,9,FALSE)</f>
        <v>43023</v>
      </c>
      <c r="J25">
        <f ca="1">VLOOKUP($A25,Employee_Cleaned!$A$2:$Q$151,10,FALSE)</f>
        <v>8</v>
      </c>
      <c r="K25">
        <f>VLOOKUP($A25,Employee_Cleaned!$A$2:$Q$151,11,FALSE)</f>
        <v>2017</v>
      </c>
      <c r="L25">
        <f>VLOOKUP($A25,Employee_Cleaned!$A$2:$Q$151,12,FALSE)</f>
        <v>10</v>
      </c>
      <c r="M25">
        <f>VLOOKUP($A25,Employee_Cleaned!$A$2:$Q$151,13,FALSE)</f>
        <v>1</v>
      </c>
      <c r="N25" s="10">
        <f ca="1">VLOOKUP($A25,Employee_Cleaned!$A$2:$Q$151,14,FALSE)</f>
        <v>46090.85657546296</v>
      </c>
      <c r="O25">
        <f ca="1">VLOOKUP($A25,Employee_Cleaned!$A$2:$Q$151,10,FALSE)</f>
        <v>8</v>
      </c>
      <c r="P25" t="str">
        <f>VLOOKUP($A25,Employee_Cleaned!$A$2:$Q$151,16,FALSE)</f>
        <v>Female</v>
      </c>
      <c r="Q25" t="str">
        <f>VLOOKUP($A25,Employee_Cleaned!$A$2:$Q$151,17,FALSE)</f>
        <v>user188@example.com</v>
      </c>
    </row>
    <row r="26" spans="1:17">
      <c r="A26" s="17" t="s">
        <v>158</v>
      </c>
      <c r="B26" t="str">
        <f>VLOOKUP($A26,Employee_Cleaned!$A$2:$Q$151,2,FALSE)</f>
        <v>SamWilson</v>
      </c>
      <c r="C26" t="str">
        <f>VLOOKUP($A26,Employee_Cleaned!$A$2:$Q$151,3,FALSE)</f>
        <v>Sam</v>
      </c>
      <c r="D26" t="str">
        <f>VLOOKUP($A26,Employee_Cleaned!$A$2:$Q$151,4,FALSE)</f>
        <v>Wilson</v>
      </c>
      <c r="E26" t="str">
        <f>VLOOKUP($A26,Employee_Cleaned!$A$2:$Q$151,5,FALSE)</f>
        <v>SamWilson</v>
      </c>
      <c r="F26" t="str">
        <f>VLOOKUP($A26,Employee_Cleaned!$A$2:$Q$151,6,FALSE)</f>
        <v>Marketing</v>
      </c>
      <c r="G26" t="s">
        <v>313</v>
      </c>
      <c r="H26" s="23">
        <f>VLOOKUP($A26,Employee_Cleaned!$A$2:$Q$151,8,FALSE)</f>
        <v>98475</v>
      </c>
      <c r="I26" s="9">
        <f>VLOOKUP($A26,Employee_Cleaned!$A$2:$Q$151,9,FALSE)</f>
        <v>43051</v>
      </c>
      <c r="J26">
        <f ca="1">VLOOKUP($A26,Employee_Cleaned!$A$2:$Q$151,10,FALSE)</f>
        <v>8</v>
      </c>
      <c r="K26">
        <f>VLOOKUP($A26,Employee_Cleaned!$A$2:$Q$151,11,FALSE)</f>
        <v>2017</v>
      </c>
      <c r="L26">
        <f>VLOOKUP($A26,Employee_Cleaned!$A$2:$Q$151,12,FALSE)</f>
        <v>11</v>
      </c>
      <c r="M26">
        <f>VLOOKUP($A26,Employee_Cleaned!$A$2:$Q$151,13,FALSE)</f>
        <v>1</v>
      </c>
      <c r="N26" s="10">
        <f ca="1">VLOOKUP($A26,Employee_Cleaned!$A$2:$Q$151,14,FALSE)</f>
        <v>46090.85657546296</v>
      </c>
      <c r="O26">
        <f ca="1">VLOOKUP($A26,Employee_Cleaned!$A$2:$Q$151,10,FALSE)</f>
        <v>8</v>
      </c>
      <c r="P26" t="str">
        <f>VLOOKUP($A26,Employee_Cleaned!$A$2:$Q$151,16,FALSE)</f>
        <v>Other</v>
      </c>
      <c r="Q26" t="str">
        <f>VLOOKUP($A26,Employee_Cleaned!$A$2:$Q$151,17,FALSE)</f>
        <v>user30@example.com</v>
      </c>
    </row>
  </sheetData>
  <conditionalFormatting sqref="A2:A26">
    <cfRule type="duplicateValues" dxfId="16" priority="1"/>
    <cfRule type="containsText" dxfId="15" priority="2" operator="containsText" text="Unknown">
      <formula>NOT(ISERROR(SEARCH("Unknown",A2)))</formula>
    </cfRule>
    <cfRule type="containsText" dxfId="14" priority="3" operator="containsText" text=" ">
      <formula>NOT(ISERROR(SEARCH(" ",A2)))</formula>
    </cfRule>
  </conditionalFormatting>
  <conditionalFormatting sqref="A1:D1">
    <cfRule type="duplicateValues" dxfId="13" priority="4"/>
    <cfRule type="containsText" dxfId="12" priority="5" operator="containsText" text="Unknown">
      <formula>NOT(ISERROR(SEARCH("Unknown",A1)))</formula>
    </cfRule>
    <cfRule type="containsText" dxfId="11" priority="6" operator="containsText" text=" ">
      <formula>NOT(ISERROR(SEARCH(" ",A1)))</formula>
    </cfRule>
  </conditionalFormatting>
  <conditionalFormatting sqref="E1:Q1">
    <cfRule type="duplicateValues" dxfId="10" priority="7"/>
    <cfRule type="containsText" dxfId="9" priority="8" operator="containsText" text="Unknown">
      <formula>NOT(ISERROR(SEARCH("Unknown",E1)))</formula>
    </cfRule>
    <cfRule type="containsText" dxfId="8" priority="9" operator="containsText" text=" ">
      <formula>NOT(ISERROR(SEARCH(" ",E1)))</formula>
    </cfRule>
  </conditionalFormatting>
  <conditionalFormatting sqref="I1:N1">
    <cfRule type="containsBlanks" dxfId="7" priority="10">
      <formula>LEN(TRIM(I1))=0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C8AF-8857-43E1-8A6D-9271BE859817}">
  <dimension ref="A1:Q26"/>
  <sheetViews>
    <sheetView topLeftCell="A4" workbookViewId="0">
      <selection activeCell="D29" sqref="D29"/>
    </sheetView>
  </sheetViews>
  <sheetFormatPr defaultRowHeight="14.5"/>
  <sheetData>
    <row r="1" spans="1:17" ht="15" thickBot="1">
      <c r="A1" s="20" t="s">
        <v>295</v>
      </c>
      <c r="B1" s="20" t="s">
        <v>1</v>
      </c>
      <c r="C1" s="20" t="s">
        <v>296</v>
      </c>
      <c r="D1" s="16" t="s">
        <v>297</v>
      </c>
      <c r="E1" s="19" t="s">
        <v>298</v>
      </c>
      <c r="F1" s="20" t="s">
        <v>2</v>
      </c>
      <c r="G1" s="20" t="s">
        <v>3</v>
      </c>
      <c r="H1" s="21" t="s">
        <v>4</v>
      </c>
      <c r="I1" s="22" t="s">
        <v>307</v>
      </c>
      <c r="J1" s="20" t="s">
        <v>308</v>
      </c>
      <c r="K1" s="20" t="s">
        <v>309</v>
      </c>
      <c r="L1" s="20" t="s">
        <v>310</v>
      </c>
      <c r="M1" s="20" t="s">
        <v>312</v>
      </c>
      <c r="N1" s="20" t="s">
        <v>311</v>
      </c>
      <c r="O1" s="20" t="s">
        <v>299</v>
      </c>
      <c r="P1" s="20" t="s">
        <v>7</v>
      </c>
      <c r="Q1" s="20" t="s">
        <v>8</v>
      </c>
    </row>
    <row r="2" spans="1:17" ht="15" thickTop="1">
      <c r="A2" s="17" t="s">
        <v>20</v>
      </c>
      <c r="B2" t="str">
        <f>INDEX(Employee_Cleaned!$B$2:$B$151,MATCH(A2,Employee_Cleaned!$A$2:$A$151,0))</f>
        <v>SamWilson</v>
      </c>
    </row>
    <row r="3" spans="1:17">
      <c r="A3" s="18" t="s">
        <v>21</v>
      </c>
      <c r="B3" t="str">
        <f>INDEX(Employee_Cleaned!$B$2:$B$151,MATCH(A3,Employee_Cleaned!$A$2:$A$151,0))</f>
        <v>BobJohnson</v>
      </c>
    </row>
    <row r="4" spans="1:17">
      <c r="A4" s="17" t="s">
        <v>28</v>
      </c>
      <c r="B4" t="str">
        <f>INDEX(Employee_Cleaned!$B$2:$B$151,MATCH(A4,Employee_Cleaned!$A$2:$A$151,0))</f>
        <v>EveAdams</v>
      </c>
    </row>
    <row r="5" spans="1:17">
      <c r="A5" s="18" t="s">
        <v>31</v>
      </c>
      <c r="B5" t="str">
        <f>INDEX(Employee_Cleaned!$B$2:$B$151,MATCH(A5,Employee_Cleaned!$A$2:$A$151,0))</f>
        <v>EveAdams</v>
      </c>
    </row>
    <row r="6" spans="1:17">
      <c r="A6" s="17" t="s">
        <v>38</v>
      </c>
      <c r="B6" t="str">
        <f>INDEX(Employee_Cleaned!$B$2:$B$151,MATCH(A6,Employee_Cleaned!$A$2:$A$151,0))</f>
        <v>BobJohnson</v>
      </c>
    </row>
    <row r="7" spans="1:17">
      <c r="A7" s="18" t="s">
        <v>47</v>
      </c>
      <c r="B7" t="str">
        <f>INDEX(Employee_Cleaned!$B$2:$B$151,MATCH(A7,Employee_Cleaned!$A$2:$A$151,0))</f>
        <v>JohnDoe</v>
      </c>
    </row>
    <row r="8" spans="1:17">
      <c r="A8" s="17" t="s">
        <v>58</v>
      </c>
      <c r="B8" t="str">
        <f>INDEX(Employee_Cleaned!$B$2:$B$151,MATCH(A8,Employee_Cleaned!$A$2:$A$151,0))</f>
        <v>EveAdams</v>
      </c>
    </row>
    <row r="9" spans="1:17">
      <c r="A9" s="18" t="s">
        <v>60</v>
      </c>
      <c r="B9" t="str">
        <f>INDEX(Employee_Cleaned!$B$2:$B$151,MATCH(A9,Employee_Cleaned!$A$2:$A$151,0))</f>
        <v>SamWilson</v>
      </c>
    </row>
    <row r="10" spans="1:17">
      <c r="A10" s="17" t="s">
        <v>63</v>
      </c>
      <c r="B10" t="str">
        <f>INDEX(Employee_Cleaned!$B$2:$B$151,MATCH(A10,Employee_Cleaned!$A$2:$A$151,0))</f>
        <v>BobJohnson</v>
      </c>
    </row>
    <row r="11" spans="1:17">
      <c r="A11" s="18" t="s">
        <v>64</v>
      </c>
      <c r="B11" t="str">
        <f>INDEX(Employee_Cleaned!$B$2:$B$151,MATCH(A11,Employee_Cleaned!$A$2:$A$151,0))</f>
        <v>ChrisLee</v>
      </c>
    </row>
    <row r="12" spans="1:17">
      <c r="A12" s="17" t="s">
        <v>67</v>
      </c>
      <c r="B12" t="str">
        <f>INDEX(Employee_Cleaned!$B$2:$B$151,MATCH(A12,Employee_Cleaned!$A$2:$A$151,0))</f>
        <v>SamWilson</v>
      </c>
    </row>
    <row r="13" spans="1:17">
      <c r="A13" s="18" t="s">
        <v>69</v>
      </c>
      <c r="B13" t="str">
        <f>INDEX(Employee_Cleaned!$B$2:$B$151,MATCH(A13,Employee_Cleaned!$A$2:$A$151,0))</f>
        <v>Unknown</v>
      </c>
    </row>
    <row r="14" spans="1:17">
      <c r="A14" s="17" t="s">
        <v>71</v>
      </c>
      <c r="B14" t="str">
        <f>INDEX(Employee_Cleaned!$B$2:$B$151,MATCH(A14,Employee_Cleaned!$A$2:$A$151,0))</f>
        <v>ChrisLee</v>
      </c>
    </row>
    <row r="15" spans="1:17">
      <c r="A15" s="18" t="s">
        <v>79</v>
      </c>
      <c r="B15" t="str">
        <f>INDEX(Employee_Cleaned!$B$2:$B$151,MATCH(A15,Employee_Cleaned!$A$2:$A$151,0))</f>
        <v>EveAdams</v>
      </c>
    </row>
    <row r="16" spans="1:17">
      <c r="A16" s="17" t="s">
        <v>94</v>
      </c>
      <c r="B16" t="str">
        <f>INDEX(Employee_Cleaned!$B$2:$B$151,MATCH(A16,Employee_Cleaned!$A$2:$A$151,0))</f>
        <v>ChrisLee</v>
      </c>
    </row>
    <row r="17" spans="1:2">
      <c r="A17" s="18" t="s">
        <v>101</v>
      </c>
      <c r="B17" t="str">
        <f>INDEX(Employee_Cleaned!$B$2:$B$151,MATCH(A17,Employee_Cleaned!$A$2:$A$151,0))</f>
        <v>JaneSmith</v>
      </c>
    </row>
    <row r="18" spans="1:2">
      <c r="A18" s="17" t="s">
        <v>112</v>
      </c>
      <c r="B18" t="str">
        <f>INDEX(Employee_Cleaned!$B$2:$B$151,MATCH(A18,Employee_Cleaned!$A$2:$A$151,0))</f>
        <v>AliceBrown</v>
      </c>
    </row>
    <row r="19" spans="1:2">
      <c r="A19" s="18" t="s">
        <v>120</v>
      </c>
      <c r="B19" t="str">
        <f>INDEX(Employee_Cleaned!$B$2:$B$151,MATCH(A19,Employee_Cleaned!$A$2:$A$151,0))</f>
        <v>ChrisLee</v>
      </c>
    </row>
    <row r="20" spans="1:2">
      <c r="A20" s="17" t="s">
        <v>125</v>
      </c>
      <c r="B20" t="str">
        <f>INDEX(Employee_Cleaned!$B$2:$B$151,MATCH(A20,Employee_Cleaned!$A$2:$A$151,0))</f>
        <v>BobJohnson</v>
      </c>
    </row>
    <row r="21" spans="1:2">
      <c r="A21" s="18" t="s">
        <v>129</v>
      </c>
      <c r="B21" t="str">
        <f>INDEX(Employee_Cleaned!$B$2:$B$151,MATCH(A21,Employee_Cleaned!$A$2:$A$151,0))</f>
        <v>Unknown</v>
      </c>
    </row>
    <row r="22" spans="1:2">
      <c r="A22" s="17" t="s">
        <v>132</v>
      </c>
      <c r="B22" t="str">
        <f>INDEX(Employee_Cleaned!$B$2:$B$151,MATCH(A22,Employee_Cleaned!$A$2:$A$151,0))</f>
        <v>JaneSmith</v>
      </c>
    </row>
    <row r="23" spans="1:2">
      <c r="A23" s="18" t="s">
        <v>134</v>
      </c>
      <c r="B23" t="str">
        <f>INDEX(Employee_Cleaned!$B$2:$B$151,MATCH(A23,Employee_Cleaned!$A$2:$A$151,0))</f>
        <v>JohnDoe</v>
      </c>
    </row>
    <row r="24" spans="1:2">
      <c r="A24" s="17" t="s">
        <v>150</v>
      </c>
      <c r="B24" t="str">
        <f>INDEX(Employee_Cleaned!$B$2:$B$151,MATCH(A24,Employee_Cleaned!$A$2:$A$151,0))</f>
        <v>JaneSmith</v>
      </c>
    </row>
    <row r="25" spans="1:2">
      <c r="A25" s="18" t="s">
        <v>154</v>
      </c>
      <c r="B25" t="str">
        <f>INDEX(Employee_Cleaned!$B$2:$B$151,MATCH(A25,Employee_Cleaned!$A$2:$A$151,0))</f>
        <v>SamWilson</v>
      </c>
    </row>
    <row r="26" spans="1:2">
      <c r="A26" s="17" t="s">
        <v>158</v>
      </c>
      <c r="B26" t="str">
        <f>INDEX(Employee_Cleaned!$B$2:$B$151,MATCH(A26,Employee_Cleaned!$A$2:$A$151,0))</f>
        <v>SamWilson</v>
      </c>
    </row>
  </sheetData>
  <conditionalFormatting sqref="A2:A26">
    <cfRule type="duplicateValues" dxfId="6" priority="1"/>
    <cfRule type="containsText" dxfId="5" priority="2" operator="containsText" text="Unknown">
      <formula>NOT(ISERROR(SEARCH("Unknown",A2)))</formula>
    </cfRule>
    <cfRule type="containsText" dxfId="4" priority="3" operator="containsText" text=" ">
      <formula>NOT(ISERROR(SEARCH(" ",A2)))</formula>
    </cfRule>
  </conditionalFormatting>
  <conditionalFormatting sqref="A1:Q1">
    <cfRule type="duplicateValues" dxfId="3" priority="4"/>
    <cfRule type="containsText" dxfId="2" priority="5" operator="containsText" text="Unknown">
      <formula>NOT(ISERROR(SEARCH("Unknown",A1)))</formula>
    </cfRule>
    <cfRule type="containsText" dxfId="1" priority="6" operator="containsText" text=" ">
      <formula>NOT(ISERROR(SEARCH(" ",A1)))</formula>
    </cfRule>
  </conditionalFormatting>
  <conditionalFormatting sqref="I1:N1">
    <cfRule type="containsBlanks" dxfId="0" priority="7">
      <formula>LEN(TRIM(I1))=0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0795-EA36-4754-A122-7AA17B9DFE40}">
  <dimension ref="A3:C10"/>
  <sheetViews>
    <sheetView workbookViewId="0">
      <selection activeCell="F5" sqref="F5"/>
    </sheetView>
  </sheetViews>
  <sheetFormatPr defaultRowHeight="14.5"/>
  <cols>
    <col min="1" max="1" width="12.36328125" bestFit="1" customWidth="1"/>
    <col min="2" max="2" width="13.08984375" bestFit="1" customWidth="1"/>
    <col min="3" max="3" width="14.6328125" bestFit="1" customWidth="1"/>
    <col min="4" max="4" width="19" bestFit="1" customWidth="1"/>
  </cols>
  <sheetData>
    <row r="3" spans="1:3">
      <c r="A3" s="28" t="s">
        <v>314</v>
      </c>
      <c r="B3" t="s">
        <v>316</v>
      </c>
      <c r="C3" t="s">
        <v>317</v>
      </c>
    </row>
    <row r="4" spans="1:3">
      <c r="A4" s="29" t="s">
        <v>166</v>
      </c>
      <c r="B4" s="7">
        <v>65666.045454545456</v>
      </c>
      <c r="C4" s="32">
        <v>22</v>
      </c>
    </row>
    <row r="5" spans="1:3">
      <c r="A5" s="29" t="s">
        <v>167</v>
      </c>
      <c r="B5" s="7">
        <v>67769.833333333328</v>
      </c>
      <c r="C5" s="32">
        <v>24</v>
      </c>
    </row>
    <row r="6" spans="1:3">
      <c r="A6" s="29" t="s">
        <v>169</v>
      </c>
      <c r="B6" s="7">
        <v>66162.44</v>
      </c>
      <c r="C6" s="32">
        <v>25</v>
      </c>
    </row>
    <row r="7" spans="1:3">
      <c r="A7" s="29" t="s">
        <v>170</v>
      </c>
      <c r="B7" s="7">
        <v>63955.068965517239</v>
      </c>
      <c r="C7" s="32">
        <v>29</v>
      </c>
    </row>
    <row r="8" spans="1:3">
      <c r="A8" s="29" t="s">
        <v>168</v>
      </c>
      <c r="B8" s="7">
        <v>67865.692307692312</v>
      </c>
      <c r="C8" s="32">
        <v>26</v>
      </c>
    </row>
    <row r="9" spans="1:3">
      <c r="A9" s="29" t="s">
        <v>178</v>
      </c>
      <c r="B9" s="7">
        <v>66572.708333333328</v>
      </c>
      <c r="C9" s="32">
        <v>24</v>
      </c>
    </row>
    <row r="10" spans="1:3">
      <c r="A10" s="29" t="s">
        <v>315</v>
      </c>
      <c r="B10" s="7">
        <v>66280.933333333334</v>
      </c>
      <c r="C10" s="32">
        <v>150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1338-8813-4F5F-BBD9-83C19C54466C}">
  <dimension ref="A1:B9"/>
  <sheetViews>
    <sheetView topLeftCell="A25" workbookViewId="0">
      <selection activeCell="H29" sqref="H29"/>
    </sheetView>
  </sheetViews>
  <sheetFormatPr defaultRowHeight="14.5"/>
  <cols>
    <col min="1" max="1" width="12.36328125" bestFit="1" customWidth="1"/>
    <col min="2" max="2" width="12.08984375" bestFit="1" customWidth="1"/>
    <col min="3" max="3" width="15.26953125" bestFit="1" customWidth="1"/>
  </cols>
  <sheetData>
    <row r="1" spans="1:2">
      <c r="A1" s="28" t="s">
        <v>314</v>
      </c>
      <c r="B1" t="s">
        <v>322</v>
      </c>
    </row>
    <row r="2" spans="1:2">
      <c r="A2" s="29" t="s">
        <v>166</v>
      </c>
      <c r="B2" s="32">
        <v>1444653</v>
      </c>
    </row>
    <row r="3" spans="1:2">
      <c r="A3" s="29" t="s">
        <v>167</v>
      </c>
      <c r="B3" s="32">
        <v>1626476</v>
      </c>
    </row>
    <row r="4" spans="1:2">
      <c r="A4" s="29" t="s">
        <v>169</v>
      </c>
      <c r="B4" s="32">
        <v>1654061</v>
      </c>
    </row>
    <row r="5" spans="1:2">
      <c r="A5" s="29" t="s">
        <v>170</v>
      </c>
      <c r="B5" s="32">
        <v>1854697</v>
      </c>
    </row>
    <row r="6" spans="1:2">
      <c r="A6" s="29" t="s">
        <v>168</v>
      </c>
      <c r="B6" s="32">
        <v>1764508</v>
      </c>
    </row>
    <row r="7" spans="1:2">
      <c r="A7" s="29" t="s">
        <v>178</v>
      </c>
      <c r="B7" s="32">
        <v>1597745</v>
      </c>
    </row>
    <row r="8" spans="1:2">
      <c r="A8" s="29" t="s">
        <v>323</v>
      </c>
      <c r="B8" s="32"/>
    </row>
    <row r="9" spans="1:2">
      <c r="A9" s="29" t="s">
        <v>315</v>
      </c>
      <c r="B9" s="32">
        <v>9942140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B453-0CBB-4B77-9547-2215F1601130}">
  <dimension ref="A1:B51"/>
  <sheetViews>
    <sheetView tabSelected="1" workbookViewId="0">
      <selection activeCell="A6" sqref="A6"/>
    </sheetView>
  </sheetViews>
  <sheetFormatPr defaultRowHeight="14.5"/>
  <cols>
    <col min="1" max="1" width="93.36328125" bestFit="1" customWidth="1"/>
  </cols>
  <sheetData>
    <row r="1" spans="1:2" ht="18">
      <c r="A1" s="27" t="s">
        <v>318</v>
      </c>
    </row>
    <row r="2" spans="1:2" ht="17.5">
      <c r="A2" s="30" t="s">
        <v>319</v>
      </c>
    </row>
    <row r="3" spans="1:2" ht="18">
      <c r="A3" s="31" t="s">
        <v>320</v>
      </c>
    </row>
    <row r="4" spans="1:2" ht="17.5">
      <c r="A4" s="30"/>
    </row>
    <row r="5" spans="1:2" ht="17.5">
      <c r="A5" s="30" t="s">
        <v>324</v>
      </c>
    </row>
    <row r="6" spans="1:2">
      <c r="A6" s="33" t="s">
        <v>327</v>
      </c>
    </row>
    <row r="7" spans="1:2">
      <c r="A7" s="33" t="s">
        <v>325</v>
      </c>
    </row>
    <row r="8" spans="1:2">
      <c r="A8" s="14" t="s">
        <v>326</v>
      </c>
    </row>
    <row r="11" spans="1:2">
      <c r="A11" s="14"/>
      <c r="B11" s="4"/>
    </row>
    <row r="14" spans="1:2">
      <c r="A14" s="14"/>
      <c r="B14" s="4"/>
    </row>
    <row r="17" spans="1:1">
      <c r="A17" s="14"/>
    </row>
    <row r="24" spans="1:1">
      <c r="A24" s="15"/>
    </row>
    <row r="25" spans="1:1">
      <c r="A25" s="25"/>
    </row>
    <row r="27" spans="1:1" ht="17.5">
      <c r="A27" s="24"/>
    </row>
    <row r="28" spans="1:1">
      <c r="A28" s="11"/>
    </row>
    <row r="29" spans="1:1">
      <c r="A29" s="26"/>
    </row>
    <row r="30" spans="1:1">
      <c r="A30" s="11"/>
    </row>
    <row r="31" spans="1:1">
      <c r="A31" s="26"/>
    </row>
    <row r="32" spans="1:1">
      <c r="A32" s="11"/>
    </row>
    <row r="33" spans="1:1">
      <c r="A33" s="26"/>
    </row>
    <row r="34" spans="1:1">
      <c r="A34" s="11"/>
    </row>
    <row r="35" spans="1:1">
      <c r="A35" s="26"/>
    </row>
    <row r="37" spans="1:1" ht="17.5">
      <c r="A37" s="24"/>
    </row>
    <row r="41" spans="1:1" ht="23.5">
      <c r="A41" s="13"/>
    </row>
    <row r="44" spans="1:1">
      <c r="A44" s="11"/>
    </row>
    <row r="45" spans="1:1">
      <c r="A45" s="1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1" spans="1:1" ht="23.5">
      <c r="A51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Sheet2</vt:lpstr>
      <vt:lpstr>Employee_Cleaned</vt:lpstr>
      <vt:lpstr>Vlookup</vt:lpstr>
      <vt:lpstr>Index&amp;Match</vt:lpstr>
      <vt:lpstr>Pivot tables_Chart</vt:lpstr>
      <vt:lpstr>Pivot Chart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 J</dc:creator>
  <cp:lastModifiedBy>navin0786_s@outlook.com</cp:lastModifiedBy>
  <dcterms:created xsi:type="dcterms:W3CDTF">2025-05-31T18:11:07Z</dcterms:created>
  <dcterms:modified xsi:type="dcterms:W3CDTF">2026-03-09T15:03:28Z</dcterms:modified>
</cp:coreProperties>
</file>